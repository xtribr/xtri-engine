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29da06eb8541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missas" sheetId="1" r:id="R6fb34d4423e44506"/>
    <x:sheet xmlns:r="http://schemas.openxmlformats.org/officeDocument/2006/relationships" name="Base longa" sheetId="2" r:id="R515e8ecaa5df48ed"/>
    <x:sheet xmlns:r="http://schemas.openxmlformats.org/officeDocument/2006/relationships" name="6º ano" sheetId="3" r:id="R9dd60038429a4024"/>
    <x:sheet xmlns:r="http://schemas.openxmlformats.org/officeDocument/2006/relationships" name="7º ano" sheetId="4" r:id="R09bbcd3645074dc2"/>
    <x:sheet xmlns:r="http://schemas.openxmlformats.org/officeDocument/2006/relationships" name="8º ano" sheetId="5" r:id="R6fea7399142944fa"/>
    <x:sheet xmlns:r="http://schemas.openxmlformats.org/officeDocument/2006/relationships" name="9º ano" sheetId="6" r:id="R21dd20b7c19a40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.00"/>
    <x:numFmt numFmtId="202" formatCode="0.0%"/>
    <x:numFmt numFmtId="203" formatCode="0"/>
  </x:numFmts>
  <x:fonts count="1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7F6000"/>
      <x:name val="Carlito"/>
    </x:font>
    <x:font>
      <x:b/>
      <x:sz val="10"/>
      <x:color rgb="FFFFFFFF"/>
      <x:name val="Carlito"/>
    </x:font>
    <x:font>
      <x:sz val="10"/>
      <x:color rgb="FF14213D"/>
      <x:name val="Carlito"/>
    </x:font>
    <x:font>
      <x:i/>
      <x:sz val="9"/>
      <x:color rgb="FF52657A"/>
      <x:name val="Carlito"/>
    </x:font>
    <x:font>
      <x:b/>
      <x:sz val="16"/>
      <x:color rgb="FFFFFFFF"/>
      <x:name val="Aptos Narrow"/>
    </x:font>
    <x:font>
      <x:b/>
      <x:sz val="11"/>
      <x:color rgb="FF7F6000"/>
      <x:name val="Aptos Narrow"/>
    </x:font>
    <x:font>
      <x:sz val="11"/>
      <x:name val="Aptos Narrow"/>
    </x:font>
    <x:font>
      <x:b/>
      <x:sz val="10"/>
      <x:color rgb="FFFFFFFF"/>
      <x:name val="Aptos Narrow"/>
    </x:font>
    <x:font>
      <x:sz val="10"/>
      <x:color rgb="FF14213D"/>
      <x:name val="Aptos Narrow"/>
    </x:font>
    <x:font>
      <x:i/>
      <x:sz val="9"/>
      <x:color rgb="FF52657A"/>
      <x:name val="Aptos Narrow"/>
    </x:font>
    <x:font>
      <x:b/>
      <x:sz val="11"/>
      <x:color rgb="FF0B2D78"/>
      <x:name val="Carlito"/>
    </x:font>
    <x:font>
      <x:b/>
      <x:sz val="10"/>
      <x:color rgb="FF0B2D78"/>
      <x:name val="Carlito"/>
    </x:font>
    <x:font>
      <x:b/>
      <x:sz val="10"/>
      <x:color rgb="FF7F6000"/>
      <x:name val="Carlito"/>
    </x:font>
    <x:font>
      <x:b/>
      <x:sz val="11"/>
      <x:color rgb="FF0B2D78"/>
      <x:name val="Aptos Narrow"/>
    </x:font>
    <x:font>
      <x:b/>
      <x:sz val="10"/>
      <x:color rgb="FF0B2D78"/>
      <x:name val="Aptos Narrow"/>
    </x:font>
    <x:font>
      <x:b/>
      <x:sz val="10"/>
      <x:color rgb="FF7F6000"/>
      <x:name val="Aptos Narrow"/>
    </x:font>
  </x:fonts>
  <x:fills count="9">
    <x:fill>
      <x:patternFill patternType="none"/>
    </x:fill>
    <x:fill>
      <x:patternFill patternType="gray125"/>
    </x:fill>
    <x:fill>
      <x:patternFill patternType="solid">
        <x:fgColor rgb="FF0B2D78"/>
      </x:patternFill>
    </x:fill>
    <x:fill>
      <x:patternFill patternType="solid">
        <x:fgColor rgb="FFFFF2CC"/>
      </x:patternFill>
    </x:fill>
    <x:fill>
      <x:patternFill patternType="solid">
        <x:fgColor rgb="FF2D67C8"/>
      </x:patternFill>
    </x:fill>
    <x:fill>
      <x:patternFill patternType="solid">
        <x:fgColor rgb="FFFFFFFF"/>
      </x:patternFill>
    </x:fill>
    <x:fill>
      <x:patternFill patternType="solid">
        <x:fgColor rgb="FFF6F9FE"/>
      </x:patternFill>
    </x:fill>
    <x:fill>
      <x:patternFill patternType="solid">
        <x:fgColor rgb="FFEAF1FB"/>
      </x:patternFill>
    </x:fill>
    <x:fill>
      <x:patternFill patternType="solid">
        <x:fgColor rgb="FF9EBAE8"/>
      </x:patternFill>
    </x:fill>
  </x:fills>
  <x:borders count="6">
    <x:border/>
    <x:border>
      <x:left style="thin">
        <x:color rgb="FF7F6000"/>
      </x:left>
      <x:top style="thin">
        <x:color rgb="FF7F6000"/>
      </x:top>
      <x:bottom style="thin">
        <x:color rgb="FF7F6000"/>
      </x:bottom>
    </x:border>
    <x:border>
      <x:top style="thin">
        <x:color rgb="FF7F6000"/>
      </x:top>
      <x:bottom style="thin">
        <x:color rgb="FF7F6000"/>
      </x:bottom>
    </x:border>
    <x:border>
      <x:right style="thin">
        <x:color rgb="FF7F6000"/>
      </x:right>
      <x:top style="thin">
        <x:color rgb="FF7F6000"/>
      </x:top>
      <x:bottom style="thin">
        <x:color rgb="FF7F6000"/>
      </x:bottom>
    </x:border>
    <x:border>
      <x:left style="thin">
        <x:color rgb="FFA9B7C8"/>
      </x:left>
      <x:right style="thin">
        <x:color rgb="FFA9B7C8"/>
      </x:right>
      <x:top style="thin">
        <x:color rgb="FFA9B7C8"/>
      </x:top>
      <x:bottom style="thin">
        <x:color rgb="FFA9B7C8"/>
      </x:bottom>
    </x:border>
    <x:border>
      <x:left style="thin">
        <x:color rgb="FF7F6000"/>
      </x:left>
      <x:right style="thin">
        <x:color rgb="FF7F6000"/>
      </x:right>
      <x:top style="thin">
        <x:color rgb="FF7F6000"/>
      </x:top>
      <x:bottom style="thin">
        <x:color rgb="FF7F6000"/>
      </x:bottom>
    </x:border>
  </x:borders>
  <x:cellStyleXfs count="1">
    <x:xf numFmtId="0" fontId="0" fillId="0" borderId="0"/>
  </x:cellStyleXfs>
  <x:cellXfs count="9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4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 vertical="center"/>
    </x:xf>
    <x:xf numFmtId="200" fontId="4" fillId="5" borderId="4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4" xfId="0" applyNumberFormat="1" applyFont="1" applyFill="1" applyBorder="1"/>
    <x:xf numFmtId="0" fontId="4" fillId="6" borderId="4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horizontal="left" wrapText="1"/>
    </x:xf>
    <x:xf numFmtId="0" fontId="4" fillId="6" borderId="4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/>
    <x:xf numFmtId="0" fontId="3" fillId="2" borderId="4" xfId="0" applyNumberFormat="1" applyFont="1" applyFill="1" applyBorder="1"/>
    <x:xf numFmtId="0" fontId="3" fillId="2" borderId="4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201" fontId="4" fillId="5" borderId="4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4" xfId="0" applyNumberFormat="1" applyFont="1" applyFill="1" applyBorder="1"/>
    <x:xf numFmtId="0" fontId="5" fillId="7" borderId="4" xfId="0" applyNumberFormat="1" applyFont="1" applyFill="1" applyBorder="1" applyAlignment="1">
      <x:alignment wrapText="1"/>
    </x:xf>
    <x:xf numFmtId="0" fontId="5" fillId="7" borderId="4" xfId="0" applyNumberFormat="1" applyFont="1" applyFill="1" applyBorder="1" applyAlignment="1">
      <x:alignment horizontal="left" wrapText="1"/>
    </x:xf>
    <x:xf numFmtId="0" fontId="5" fillId="7" borderId="4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3" borderId="1" xfId="0" applyNumberFormat="1" applyFont="1" applyFill="1" applyBorder="1" applyAlignment="1">
      <x:alignment horizontal="center" vertical="center" wrapText="1"/>
    </x:xf>
    <x:xf numFmtId="0" fontId="7" fillId="3" borderId="2" xfId="0" applyNumberFormat="1" applyFont="1" applyFill="1" applyBorder="1" applyAlignment="1">
      <x:alignment horizontal="center" vertical="center" wrapText="1"/>
    </x:xf>
    <x:xf numFmtId="0" fontId="7" fillId="3" borderId="3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9" fillId="4" borderId="4" xfId="0" applyNumberFormat="1" applyFont="1" applyFill="1" applyBorder="1" applyAlignment="1">
      <x:alignment horizontal="center" vertical="center" wrapText="1"/>
    </x:xf>
    <x:xf numFmtId="0" fontId="10" fillId="6" borderId="4" xfId="0" applyNumberFormat="1" applyFont="1" applyFill="1" applyBorder="1" applyAlignment="1">
      <x:alignment horizontal="left" vertical="center" wrapText="1"/>
    </x:xf>
    <x:xf numFmtId="0" fontId="10" fillId="5" borderId="4" xfId="0" applyNumberFormat="1" applyFont="1" applyFill="1" applyBorder="1" applyAlignment="1">
      <x:alignment horizontal="center" vertical="center"/>
    </x:xf>
    <x:xf numFmtId="200" fontId="10" fillId="5" borderId="4" xfId="0" applyNumberFormat="1" applyFont="1" applyFill="1" applyBorder="1" applyAlignment="1">
      <x:alignment horizontal="center" vertical="center"/>
    </x:xf>
    <x:xf numFmtId="0" fontId="9" fillId="2" borderId="4" xfId="0" applyNumberFormat="1" applyFont="1" applyFill="1" applyBorder="1" applyAlignment="1">
      <x:alignment horizontal="center" vertical="center" wrapText="1"/>
    </x:xf>
    <x:xf numFmtId="201" fontId="10" fillId="5" borderId="4" xfId="0" applyNumberFormat="1" applyFont="1" applyFill="1" applyBorder="1" applyAlignment="1">
      <x:alignment horizontal="center" vertical="center"/>
    </x:xf>
    <x:xf numFmtId="0" fontId="11" fillId="7" borderId="4" xfId="0" applyNumberFormat="1" applyFont="1" applyFill="1" applyBorder="1" applyAlignment="1">
      <x:alignment horizontal="left" vertical="center" wrapText="1"/>
    </x:xf>
    <x:xf numFmtId="0" fontId="4" fillId="7" borderId="4" xfId="0" applyNumberFormat="1" applyFont="1" applyFill="1" applyBorder="1" applyAlignment="1">
      <x:alignment horizontal="center" vertical="center"/>
    </x:xf>
    <x:xf numFmtId="202" fontId="4" fillId="7" borderId="4" xfId="0" applyNumberFormat="1" applyFont="1" applyFill="1" applyBorder="1" applyAlignment="1">
      <x:alignment horizontal="center" vertical="center"/>
    </x:xf>
    <x:xf numFmtId="202" fontId="4" fillId="5" borderId="4" xfId="0" applyNumberFormat="1" applyFont="1" applyFill="1" applyBorder="1" applyAlignment="1">
      <x:alignment horizontal="center" vertical="center"/>
    </x:xf>
    <x:xf numFmtId="201" fontId="4" fillId="7" borderId="4" xfId="0" applyNumberFormat="1" applyFont="1" applyFill="1" applyBorder="1" applyAlignment="1">
      <x:alignment horizontal="center" vertical="center"/>
    </x:xf>
    <x:xf numFmtId="200" fontId="4" fillId="7" borderId="4" xfId="0" applyNumberFormat="1" applyFont="1" applyFill="1" applyBorder="1" applyAlignment="1">
      <x:alignment horizontal="center" vertical="center"/>
    </x:xf>
    <x:xf numFmtId="0" fontId="10" fillId="7" borderId="4" xfId="0" applyNumberFormat="1" applyFont="1" applyFill="1" applyBorder="1" applyAlignment="1">
      <x:alignment horizontal="center" vertical="center"/>
    </x:xf>
    <x:xf numFmtId="202" fontId="10" fillId="7" borderId="4" xfId="0" applyNumberFormat="1" applyFont="1" applyFill="1" applyBorder="1" applyAlignment="1">
      <x:alignment horizontal="center" vertical="center"/>
    </x:xf>
    <x:xf numFmtId="201" fontId="10" fillId="7" borderId="4" xfId="0" applyNumberFormat="1" applyFont="1" applyFill="1" applyBorder="1" applyAlignment="1">
      <x:alignment horizontal="center" vertical="center"/>
    </x:xf>
    <x:xf numFmtId="200" fontId="10" fillId="7" borderId="4" xfId="0" applyNumberFormat="1" applyFont="1" applyFill="1" applyBorder="1" applyAlignment="1">
      <x:alignment horizontal="center" vertical="center"/>
    </x:xf>
    <x:xf numFmtId="202" fontId="10" fillId="5" borderId="4" xfId="0" applyNumberFormat="1" applyFont="1" applyFill="1" applyBorder="1" applyAlignment="1">
      <x:alignment horizontal="center" vertical="center"/>
    </x:xf>
    <x:xf numFmtId="0" fontId="12" fillId="7" borderId="0" xfId="0" applyNumberFormat="1" applyFont="1" applyFill="1" applyBorder="1"/>
    <x:xf numFmtId="0" fontId="12" fillId="7" borderId="0" xfId="0" applyNumberFormat="1" applyFont="1" applyFill="1" applyBorder="1" applyAlignment="1">
      <x:alignment wrapText="1"/>
    </x:xf>
    <x:xf numFmtId="0" fontId="12" fillId="7" borderId="0" xfId="0" applyNumberFormat="1" applyFont="1" applyFill="1" applyBorder="1" applyAlignment="1">
      <x:alignment horizontal="center" wrapText="1"/>
    </x:xf>
    <x:xf numFmtId="0" fontId="12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4" xfId="0" applyNumberFormat="1" applyFont="1" applyFill="1" applyBorder="1"/>
    <x:xf numFmtId="0" fontId="3" fillId="8" borderId="4" xfId="0" applyNumberFormat="1" applyFont="1" applyFill="1" applyBorder="1" applyAlignment="1">
      <x:alignment wrapText="1"/>
    </x:xf>
    <x:xf numFmtId="0" fontId="3" fillId="8" borderId="4" xfId="0" applyNumberFormat="1" applyFont="1" applyFill="1" applyBorder="1" applyAlignment="1">
      <x:alignment horizontal="center" wrapText="1"/>
    </x:xf>
    <x:xf numFmtId="0" fontId="3" fillId="8" borderId="4" xfId="0" applyNumberFormat="1" applyFont="1" applyFill="1" applyBorder="1" applyAlignment="1">
      <x:alignment horizontal="center" vertical="center" wrapText="1"/>
    </x:xf>
    <x:xf numFmtId="0" fontId="13" fillId="8" borderId="4" xfId="0" applyNumberFormat="1" applyFont="1" applyFill="1" applyBorder="1" applyAlignment="1">
      <x:alignment horizontal="center" vertical="center" wrapText="1"/>
    </x:xf>
    <x:xf numFmtId="203" fontId="4" fillId="5" borderId="4" xfId="0" applyNumberFormat="1" applyFont="1" applyFill="1" applyBorder="1" applyAlignment="1">
      <x:alignment horizontal="center" vertical="center"/>
    </x:xf>
    <x:xf numFmtId="203" fontId="4" fillId="7" borderId="4" xfId="0" applyNumberFormat="1" applyFont="1" applyFill="1" applyBorder="1" applyAlignment="1">
      <x:alignment horizontal="center" vertical="center"/>
    </x:xf>
    <x:xf numFmtId="0" fontId="14" fillId="3" borderId="0" xfId="0" applyNumberFormat="1" applyFont="1" applyFill="1" applyBorder="1"/>
    <x:xf numFmtId="0" fontId="14" fillId="3" borderId="5" xfId="0" applyNumberFormat="1" applyFont="1" applyFill="1" applyBorder="1"/>
    <x:xf numFmtId="0" fontId="14" fillId="3" borderId="5" xfId="0" applyNumberFormat="1" applyFont="1" applyFill="1" applyBorder="1" applyAlignment="1">
      <x:alignment wrapText="1"/>
    </x:xf>
    <x:xf numFmtId="0" fontId="14" fillId="3" borderId="5" xfId="0" applyNumberFormat="1" applyFont="1" applyFill="1" applyBorder="1" applyAlignment="1">
      <x:alignment horizontal="left" wrapText="1"/>
    </x:xf>
    <x:xf numFmtId="0" fontId="14" fillId="3" borderId="5" xfId="0" applyNumberFormat="1" applyFont="1" applyFill="1" applyBorder="1" applyAlignment="1">
      <x:alignment horizontal="left" vertical="center" wrapText="1"/>
    </x:xf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left" wrapText="1"/>
    </x:xf>
    <x:xf numFmtId="0" fontId="5" fillId="6" borderId="0" xfId="0" applyNumberFormat="1" applyFont="1" applyFill="1" applyBorder="1" applyAlignment="1">
      <x:alignment horizontal="left" vertical="center" wrapText="1"/>
    </x:xf>
    <x:xf numFmtId="0" fontId="15" fillId="7" borderId="0" xfId="0" applyNumberFormat="1" applyFont="1" applyFill="1" applyBorder="1" applyAlignment="1">
      <x:alignment horizontal="center" vertical="center" wrapText="1"/>
    </x:xf>
    <x:xf numFmtId="0" fontId="16" fillId="8" borderId="4" xfId="0" applyNumberFormat="1" applyFont="1" applyFill="1" applyBorder="1" applyAlignment="1">
      <x:alignment horizontal="center" vertical="center" wrapText="1"/>
    </x:xf>
    <x:xf numFmtId="203" fontId="10" fillId="5" borderId="4" xfId="0" applyNumberFormat="1" applyFont="1" applyFill="1" applyBorder="1" applyAlignment="1">
      <x:alignment horizontal="center" vertical="center"/>
    </x:xf>
    <x:xf numFmtId="203" fontId="10" fillId="7" borderId="4" xfId="0" applyNumberFormat="1" applyFont="1" applyFill="1" applyBorder="1" applyAlignment="1">
      <x:alignment horizontal="center" vertical="center"/>
    </x:xf>
    <x:xf numFmtId="0" fontId="17" fillId="3" borderId="5" xfId="0" applyNumberFormat="1" applyFont="1" applyFill="1" applyBorder="1" applyAlignment="1">
      <x:alignment horizontal="left" vertical="center" wrapText="1"/>
    </x:xf>
    <x:xf numFmtId="0" fontId="11" fillId="6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0cdc12c6244d7d" /><Relationship Type="http://schemas.openxmlformats.org/officeDocument/2006/relationships/theme" Target="/xl/theme/theme1.xml" Id="R871176f07c59411f" /><Relationship Type="http://schemas.openxmlformats.org/officeDocument/2006/relationships/sharedStrings" Target="/xl/sharedStrings.xml" Id="R6b6dedb0fee946c5" /><Relationship Type="http://schemas.openxmlformats.org/officeDocument/2006/relationships/worksheet" Target="/xl/worksheets/sheet1.xml" Id="R6fb34d4423e44506" /><Relationship Type="http://schemas.openxmlformats.org/officeDocument/2006/relationships/worksheet" Target="/xl/worksheets/sheet2.xml" Id="R515e8ecaa5df48ed" /><Relationship Type="http://schemas.openxmlformats.org/officeDocument/2006/relationships/worksheet" Target="/xl/worksheets/sheet3.xml" Id="R9dd60038429a4024" /><Relationship Type="http://schemas.openxmlformats.org/officeDocument/2006/relationships/worksheet" Target="/xl/worksheets/sheet4.xml" Id="R09bbcd3645074dc2" /><Relationship Type="http://schemas.openxmlformats.org/officeDocument/2006/relationships/worksheet" Target="/xl/worksheets/sheet5.xml" Id="R6fea7399142944fa" /><Relationship Type="http://schemas.openxmlformats.org/officeDocument/2006/relationships/worksheet" Target="/xl/worksheets/sheet6.xml" Id="R21dd20b7c19a40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2" hidden="0" customWidth="1"/>
    <x:col min="3" max="3" width="32" hidden="0" customWidth="1"/>
    <x:col min="4" max="4" width="4" hidden="0" customWidth="1"/>
    <x:col min="5" max="5" width="18" hidden="0" customWidth="1"/>
    <x:col min="6" max="6" width="27" hidden="0" customWidth="1"/>
    <x:col min="7" max="7" width="20" hidden="0" customWidth="1"/>
    <x:col min="8" max="8" width="16" hidden="0" customWidth="1"/>
  </x:cols>
  <x:sheetData>
    <x:row r="1" ht="32" customHeight="1">
      <x:c r="A1" s="49" t="str">
        <x:v>TABELA DE REFERÊNCIA — FUNDAMENTAL II</x:v>
      </x:c>
      <x:c r="B1" s="49"/>
      <x:c r="C1" s="49"/>
      <x:c r="D1" s="49"/>
      <x:c r="E1" s="49"/>
      <x:c r="F1" s="49"/>
      <x:c r="G1" s="49"/>
      <x:c r="H1" s="49"/>
    </x:row>
    <x:row r="2" ht="28" customHeight="1">
      <x:c r="A2" s="50" t="str">
        <x:v>HIPÓTESE PRÉ-CALIBRAÇÃO — não representa nota TRI oficial nem resultado empírico observado</x:v>
      </x:c>
      <x:c r="B2" s="51"/>
      <x:c r="C2" s="51"/>
      <x:c r="D2" s="51"/>
      <x:c r="E2" s="51"/>
      <x:c r="F2" s="51"/>
      <x:c r="G2" s="51"/>
      <x:c r="H2" s="52"/>
    </x:row>
    <x:row r="3">
      <x:c r="A3" s="53"/>
      <x:c r="B3" s="53"/>
      <x:c r="C3" s="53"/>
      <x:c r="D3" s="53"/>
      <x:c r="E3" s="53"/>
      <x:c r="F3" s="53"/>
      <x:c r="G3" s="53"/>
      <x:c r="H3" s="53"/>
    </x:row>
    <x:row r="4">
      <x:c r="A4" s="54" t="str">
        <x:v>Parâmetro editável</x:v>
      </x:c>
      <x:c r="B4" s="54" t="str">
        <x:v>Valor</x:v>
      </x:c>
      <x:c r="C4" s="53"/>
      <x:c r="D4" s="55" t="str">
        <x:v>Como ler: para cada quantidade de acertos, a MEDIANA é a estimativa central. MÍNIMO e MÁXIMO formam um intervalo plausível para padrões de resposta diferentes com o mesmo total. Quanto menor a prova, maior o intervalo. Após aplicações reais, estes limites devem ser substituídos por estimativas calibradas com respostas dos estudantes.</x:v>
      </x:c>
      <x:c r="E4" s="55"/>
      <x:c r="F4" s="55"/>
      <x:c r="G4" s="55"/>
      <x:c r="H4" s="55"/>
    </x:row>
    <x:row r="5">
      <x:c r="A5" s="56" t="str">
        <x:v>Limite inferior da escala</x:v>
      </x:c>
      <x:c r="B5" s="57" t="n">
        <x:v>200</x:v>
      </x:c>
      <x:c r="C5" s="53"/>
      <x:c r="D5" s="55"/>
      <x:c r="E5" s="55"/>
      <x:c r="F5" s="55"/>
      <x:c r="G5" s="55"/>
      <x:c r="H5" s="55"/>
    </x:row>
    <x:row r="6">
      <x:c r="A6" s="56" t="str">
        <x:v>Limite superior da escala</x:v>
      </x:c>
      <x:c r="B6" s="57" t="n">
        <x:v>800</x:v>
      </x:c>
      <x:c r="C6" s="53"/>
      <x:c r="D6" s="55"/>
      <x:c r="E6" s="55"/>
      <x:c r="F6" s="55"/>
      <x:c r="G6" s="55"/>
      <x:c r="H6" s="55"/>
    </x:row>
    <x:row r="7">
      <x:c r="A7" s="56" t="str">
        <x:v>Dispersão-base do envelope</x:v>
      </x:c>
      <x:c r="B7" s="57" t="n">
        <x:v>85</x:v>
      </x:c>
      <x:c r="C7" s="53"/>
      <x:c r="D7" s="55"/>
      <x:c r="E7" s="55"/>
      <x:c r="F7" s="55"/>
      <x:c r="G7" s="55"/>
      <x:c r="H7" s="55"/>
    </x:row>
    <x:row r="8">
      <x:c r="A8" s="53"/>
      <x:c r="B8" s="53"/>
      <x:c r="C8" s="53"/>
      <x:c r="D8" s="53"/>
      <x:c r="E8" s="53"/>
      <x:c r="F8" s="53"/>
      <x:c r="G8" s="53"/>
      <x:c r="H8" s="53"/>
    </x:row>
    <x:row r="9">
      <x:c r="A9" s="58" t="str">
        <x:v>AJUSTES EDITÁVEIS DA HIPÓTESE</x:v>
      </x:c>
      <x:c r="B9" s="58"/>
      <x:c r="C9" s="58"/>
      <x:c r="D9" s="58"/>
      <x:c r="E9" s="58"/>
      <x:c r="F9" s="58"/>
      <x:c r="G9" s="58"/>
      <x:c r="H9" s="58"/>
    </x:row>
    <x:row r="10">
      <x:c r="A10" s="53"/>
      <x:c r="B10" s="53"/>
      <x:c r="C10" s="53"/>
      <x:c r="D10" s="53"/>
      <x:c r="E10" s="53"/>
      <x:c r="F10" s="53"/>
      <x:c r="G10" s="53"/>
      <x:c r="H10" s="53"/>
    </x:row>
    <x:row r="11">
      <x:c r="A11" s="54" t="str">
        <x:v>Ano escolar</x:v>
      </x:c>
      <x:c r="B11" s="54" t="str">
        <x:v>Deslocamento vertical</x:v>
      </x:c>
      <x:c r="C11" s="54" t="str">
        <x:v>Interpretação</x:v>
      </x:c>
      <x:c r="D11" s="53"/>
      <x:c r="E11" s="54" t="str">
        <x:v>Código</x:v>
      </x:c>
      <x:c r="F11" s="54" t="str">
        <x:v>Área</x:v>
      </x:c>
      <x:c r="G11" s="54" t="str">
        <x:v>Ajuste de dispersão</x:v>
      </x:c>
      <x:c r="H11" s="53"/>
    </x:row>
    <x:row r="12">
      <x:c r="A12" s="56" t="str">
        <x:v>6º ano</x:v>
      </x:c>
      <x:c r="B12" s="57" t="n">
        <x:v>0</x:v>
      </x:c>
      <x:c r="C12" s="56" t="str">
        <x:v>Escala independente</x:v>
      </x:c>
      <x:c r="D12" s="53"/>
      <x:c r="E12" s="56" t="str">
        <x:v>GERAL</x:v>
      </x:c>
      <x:c r="F12" s="56" t="str">
        <x:v>Geral</x:v>
      </x:c>
      <x:c r="G12" s="59" t="n">
        <x:v>1</x:v>
      </x:c>
      <x:c r="H12" s="53"/>
    </x:row>
    <x:row r="13">
      <x:c r="A13" s="56" t="str">
        <x:v>7º ano</x:v>
      </x:c>
      <x:c r="B13" s="57" t="n">
        <x:v>-50</x:v>
      </x:c>
      <x:c r="C13" s="56" t="str">
        <x:v>Início da escala comum 7º–9º</x:v>
      </x:c>
      <x:c r="D13" s="53"/>
      <x:c r="E13" s="56" t="str">
        <x:v>LC</x:v>
      </x:c>
      <x:c r="F13" s="56" t="str">
        <x:v>Linguagens</x:v>
      </x:c>
      <x:c r="G13" s="59" t="n">
        <x:v>1</x:v>
      </x:c>
      <x:c r="H13" s="53"/>
    </x:row>
    <x:row r="14">
      <x:c r="A14" s="56" t="str">
        <x:v>8º ano</x:v>
      </x:c>
      <x:c r="B14" s="57" t="n">
        <x:v>0</x:v>
      </x:c>
      <x:c r="C14" s="56" t="str">
        <x:v>Centro da escala comum 7º–9º</x:v>
      </x:c>
      <x:c r="D14" s="53"/>
      <x:c r="E14" s="56" t="str">
        <x:v>MT</x:v>
      </x:c>
      <x:c r="F14" s="56" t="str">
        <x:v>Matemática</x:v>
      </x:c>
      <x:c r="G14" s="59" t="n">
        <x:v>1</x:v>
      </x:c>
      <x:c r="H14" s="53"/>
    </x:row>
    <x:row r="15">
      <x:c r="A15" s="56" t="str">
        <x:v>9º ano</x:v>
      </x:c>
      <x:c r="B15" s="57" t="n">
        <x:v>50</x:v>
      </x:c>
      <x:c r="C15" s="56" t="str">
        <x:v>Progressão provisória na escala comum</x:v>
      </x:c>
      <x:c r="D15" s="53"/>
      <x:c r="E15" s="56" t="str">
        <x:v>CH</x:v>
      </x:c>
      <x:c r="F15" s="56" t="str">
        <x:v>Ciências Humanas</x:v>
      </x:c>
      <x:c r="G15" s="59" t="n">
        <x:v>1</x:v>
      </x:c>
      <x:c r="H15" s="53"/>
    </x:row>
    <x:row r="16">
      <x:c r="A16" s="53"/>
      <x:c r="B16" s="53"/>
      <x:c r="C16" s="53"/>
      <x:c r="D16" s="53"/>
      <x:c r="E16" s="56" t="str">
        <x:v>CN</x:v>
      </x:c>
      <x:c r="F16" s="56" t="str">
        <x:v>Ciências da Natureza</x:v>
      </x:c>
      <x:c r="G16" s="59" t="n">
        <x:v>1</x:v>
      </x:c>
      <x:c r="H16" s="53"/>
    </x:row>
    <x:row r="17">
      <x:c r="A17" s="53"/>
      <x:c r="B17" s="53"/>
      <x:c r="C17" s="53"/>
      <x:c r="D17" s="53"/>
      <x:c r="E17" s="53"/>
      <x:c r="F17" s="53"/>
      <x:c r="G17" s="53"/>
      <x:c r="H17" s="53"/>
    </x:row>
    <x:row r="18">
      <x:c r="A18" s="58" t="str">
        <x:v>COMPOSIÇÃO DAS PROVAS POR ÁREA</x:v>
      </x:c>
      <x:c r="B18" s="58"/>
      <x:c r="C18" s="58"/>
      <x:c r="D18" s="58"/>
      <x:c r="E18" s="58"/>
      <x:c r="F18" s="58"/>
      <x:c r="G18" s="58"/>
      <x:c r="H18" s="53"/>
    </x:row>
    <x:row r="19">
      <x:c r="A19" s="54" t="str">
        <x:v>Ano</x:v>
      </x:c>
      <x:c r="B19" s="54" t="str">
        <x:v>Escala</x:v>
      </x:c>
      <x:c r="C19" s="54" t="str">
        <x:v>Total</x:v>
      </x:c>
      <x:c r="D19" s="54" t="str">
        <x:v>LC</x:v>
      </x:c>
      <x:c r="E19" s="54" t="str">
        <x:v>MT</x:v>
      </x:c>
      <x:c r="F19" s="54" t="str">
        <x:v>CH</x:v>
      </x:c>
      <x:c r="G19" s="54" t="str">
        <x:v>CN</x:v>
      </x:c>
      <x:c r="H19" s="53"/>
    </x:row>
    <x:row r="20">
      <x:c r="A20" s="56" t="str">
        <x:v>6º</x:v>
      </x:c>
      <x:c r="B20" s="56" t="str">
        <x:v>Escala 6º ano</x:v>
      </x:c>
      <x:c r="C20" s="56" t="n">
        <x:v>50</x:v>
      </x:c>
      <x:c r="D20" s="56" t="n">
        <x:v>20</x:v>
      </x:c>
      <x:c r="E20" s="56" t="n">
        <x:v>10</x:v>
      </x:c>
      <x:c r="F20" s="56" t="n">
        <x:v>15</x:v>
      </x:c>
      <x:c r="G20" s="56" t="n">
        <x:v>5</x:v>
      </x:c>
      <x:c r="H20" s="53"/>
    </x:row>
    <x:row r="21">
      <x:c r="A21" s="56" t="str">
        <x:v>7º</x:v>
      </x:c>
      <x:c r="B21" s="56" t="str">
        <x:v>Escala comum 7º–9º</x:v>
      </x:c>
      <x:c r="C21" s="56" t="n">
        <x:v>50</x:v>
      </x:c>
      <x:c r="D21" s="56" t="n">
        <x:v>20</x:v>
      </x:c>
      <x:c r="E21" s="56" t="n">
        <x:v>10</x:v>
      </x:c>
      <x:c r="F21" s="56" t="n">
        <x:v>15</x:v>
      </x:c>
      <x:c r="G21" s="56" t="n">
        <x:v>5</x:v>
      </x:c>
      <x:c r="H21" s="53"/>
    </x:row>
    <x:row r="22">
      <x:c r="A22" s="56" t="str">
        <x:v>8º</x:v>
      </x:c>
      <x:c r="B22" s="56" t="str">
        <x:v>Escala comum 7º–9º</x:v>
      </x:c>
      <x:c r="C22" s="56" t="n">
        <x:v>50</x:v>
      </x:c>
      <x:c r="D22" s="56" t="n">
        <x:v>20</x:v>
      </x:c>
      <x:c r="E22" s="56" t="n">
        <x:v>10</x:v>
      </x:c>
      <x:c r="F22" s="56" t="n">
        <x:v>15</x:v>
      </x:c>
      <x:c r="G22" s="56" t="n">
        <x:v>5</x:v>
      </x:c>
      <x:c r="H22" s="53"/>
    </x:row>
    <x:row r="23">
      <x:c r="A23" s="56" t="str">
        <x:v>9º</x:v>
      </x:c>
      <x:c r="B23" s="56" t="str">
        <x:v>Escala comum 7º–9º</x:v>
      </x:c>
      <x:c r="C23" s="56" t="n">
        <x:v>60</x:v>
      </x:c>
      <x:c r="D23" s="56" t="n">
        <x:v>20</x:v>
      </x:c>
      <x:c r="E23" s="56" t="n">
        <x:v>10</x:v>
      </x:c>
      <x:c r="F23" s="56" t="n">
        <x:v>15</x:v>
      </x:c>
      <x:c r="G23" s="56" t="n">
        <x:v>15</x:v>
      </x:c>
      <x:c r="H23" s="53"/>
    </x:row>
    <x:row r="24">
      <x:c r="A24" s="53"/>
      <x:c r="B24" s="53"/>
      <x:c r="C24" s="53"/>
      <x:c r="D24" s="53"/>
      <x:c r="E24" s="53"/>
      <x:c r="F24" s="53"/>
      <x:c r="G24" s="53"/>
      <x:c r="H24" s="53"/>
    </x:row>
    <x:row r="25">
      <x:c r="A25" s="53"/>
      <x:c r="B25" s="53"/>
      <x:c r="C25" s="53"/>
      <x:c r="D25" s="53"/>
      <x:c r="E25" s="53"/>
      <x:c r="F25" s="53"/>
      <x:c r="G25" s="53"/>
      <x:c r="H25" s="53"/>
    </x:row>
    <x:row r="26">
      <x:c r="A26" s="58" t="str">
        <x:v>UNIFICAÇÃO DOS COMPONENTES</x:v>
      </x:c>
      <x:c r="B26" s="58"/>
      <x:c r="C26" s="58"/>
      <x:c r="D26" s="53"/>
      <x:c r="E26" s="58" t="str">
        <x:v>FAIXAS PEDAGÓGICAS SUGERIDAS</x:v>
      </x:c>
      <x:c r="F26" s="58"/>
      <x:c r="G26" s="58"/>
      <x:c r="H26" s="53"/>
    </x:row>
    <x:row r="27">
      <x:c r="A27" s="54" t="str">
        <x:v>Componente</x:v>
      </x:c>
      <x:c r="B27" s="54" t="str">
        <x:v>Área</x:v>
      </x:c>
      <x:c r="C27" s="54" t="str">
        <x:v>Observação</x:v>
      </x:c>
      <x:c r="D27" s="53"/>
      <x:c r="E27" s="54" t="str">
        <x:v>De</x:v>
      </x:c>
      <x:c r="F27" s="54" t="str">
        <x:v>Até</x:v>
      </x:c>
      <x:c r="G27" s="54" t="str">
        <x:v>Nível</x:v>
      </x:c>
      <x:c r="H27" s="53"/>
    </x:row>
    <x:row r="28">
      <x:c r="A28" s="56" t="str">
        <x:v>Língua Portuguesa</x:v>
      </x:c>
      <x:c r="B28" s="56" t="str">
        <x:v>LC</x:v>
      </x:c>
      <x:c r="C28" s="56" t="str">
        <x:v>6º ao 9º</x:v>
      </x:c>
      <x:c r="D28" s="53"/>
      <x:c r="E28" s="57" t="n">
        <x:v>200</x:v>
      </x:c>
      <x:c r="F28" s="57" t="n">
        <x:v>399.9</x:v>
      </x:c>
      <x:c r="G28" s="56" t="str">
        <x:v>Abaixo do básico</x:v>
      </x:c>
      <x:c r="H28" s="53"/>
    </x:row>
    <x:row r="29">
      <x:c r="A29" s="56" t="str">
        <x:v>Inglês ou Espanhol</x:v>
      </x:c>
      <x:c r="B29" s="56" t="str">
        <x:v>LC</x:v>
      </x:c>
      <x:c r="C29" s="56" t="str">
        <x:v>6º ao 9º</x:v>
      </x:c>
      <x:c r="D29" s="53"/>
      <x:c r="E29" s="57" t="n">
        <x:v>400</x:v>
      </x:c>
      <x:c r="F29" s="57" t="n">
        <x:v>499.9</x:v>
      </x:c>
      <x:c r="G29" s="56" t="str">
        <x:v>Básico</x:v>
      </x:c>
      <x:c r="H29" s="53"/>
    </x:row>
    <x:row r="30">
      <x:c r="A30" s="56" t="str">
        <x:v>Arte</x:v>
      </x:c>
      <x:c r="B30" s="56" t="str">
        <x:v>LC</x:v>
      </x:c>
      <x:c r="C30" s="56" t="str">
        <x:v>6º ao 9º</x:v>
      </x:c>
      <x:c r="D30" s="53"/>
      <x:c r="E30" s="57" t="n">
        <x:v>500</x:v>
      </x:c>
      <x:c r="F30" s="57" t="n">
        <x:v>599.9</x:v>
      </x:c>
      <x:c r="G30" s="56" t="str">
        <x:v>Adequado</x:v>
      </x:c>
      <x:c r="H30" s="53"/>
    </x:row>
    <x:row r="31">
      <x:c r="A31" s="56" t="str">
        <x:v>Matemática</x:v>
      </x:c>
      <x:c r="B31" s="56" t="str">
        <x:v>MT</x:v>
      </x:c>
      <x:c r="C31" s="56" t="str">
        <x:v>6º ao 9º</x:v>
      </x:c>
      <x:c r="D31" s="53"/>
      <x:c r="E31" s="57" t="n">
        <x:v>600</x:v>
      </x:c>
      <x:c r="F31" s="57" t="n">
        <x:v>699.9</x:v>
      </x:c>
      <x:c r="G31" s="56" t="str">
        <x:v>Proficiente</x:v>
      </x:c>
      <x:c r="H31" s="53"/>
    </x:row>
    <x:row r="32">
      <x:c r="A32" s="56" t="str">
        <x:v>História + Geografia + Filosofia</x:v>
      </x:c>
      <x:c r="B32" s="56" t="str">
        <x:v>CH</x:v>
      </x:c>
      <x:c r="C32" s="56" t="str">
        <x:v>6º ao 9º</x:v>
      </x:c>
      <x:c r="D32" s="53"/>
      <x:c r="E32" s="57" t="n">
        <x:v>700</x:v>
      </x:c>
      <x:c r="F32" s="57" t="n">
        <x:v>800</x:v>
      </x:c>
      <x:c r="G32" s="56" t="str">
        <x:v>Avançado</x:v>
      </x:c>
      <x:c r="H32" s="53"/>
    </x:row>
    <x:row r="33">
      <x:c r="A33" s="56" t="str">
        <x:v>Ciências</x:v>
      </x:c>
      <x:c r="B33" s="56" t="str">
        <x:v>CN</x:v>
      </x:c>
      <x:c r="C33" s="56" t="str">
        <x:v>6º ao 8º</x:v>
      </x:c>
      <x:c r="D33" s="53"/>
      <x:c r="E33" s="53"/>
      <x:c r="F33" s="53"/>
      <x:c r="G33" s="53"/>
      <x:c r="H33" s="53"/>
    </x:row>
    <x:row r="34">
      <x:c r="A34" s="56" t="str">
        <x:v>Biologia + Química + Física</x:v>
      </x:c>
      <x:c r="B34" s="56" t="str">
        <x:v>CN</x:v>
      </x:c>
      <x:c r="C34" s="56" t="str">
        <x:v>9º</x:v>
      </x:c>
      <x:c r="D34" s="53"/>
      <x:c r="E34" s="53"/>
      <x:c r="F34" s="53"/>
      <x:c r="G34" s="53"/>
      <x:c r="H34" s="53"/>
    </x:row>
    <x:row r="35">
      <x:c r="A35" s="56" t="str">
        <x:v>GERAL</x:v>
      </x:c>
      <x:c r="B35" s="56" t="str">
        <x:v>Todas</x:v>
      </x:c>
      <x:c r="C35" s="56" t="str">
        <x:v>Aproximação pelo total bruto de acertos</x:v>
      </x:c>
      <x:c r="D35" s="53"/>
      <x:c r="E35" s="53"/>
      <x:c r="F35" s="53"/>
      <x:c r="G35" s="53"/>
      <x:c r="H35" s="53"/>
    </x:row>
    <x:row r="36">
      <x:c r="A36" s="53"/>
      <x:c r="B36" s="53"/>
      <x:c r="C36" s="53"/>
      <x:c r="D36" s="53"/>
      <x:c r="E36" s="53"/>
      <x:c r="F36" s="53"/>
      <x:c r="G36" s="53"/>
      <x:c r="H36" s="53"/>
    </x:row>
    <x:row r="37">
      <x:c r="A37" s="53"/>
      <x:c r="B37" s="53"/>
      <x:c r="C37" s="53"/>
      <x:c r="D37" s="53"/>
      <x:c r="E37" s="53"/>
      <x:c r="F37" s="53"/>
      <x:c r="G37" s="53"/>
      <x:c r="H37" s="53"/>
    </x:row>
    <x:row r="38">
      <x:c r="A38" s="58" t="str">
        <x:v>MÉTODO DE CONSTRUÇÃO</x:v>
      </x:c>
      <x:c r="B38" s="58"/>
      <x:c r="C38" s="58"/>
      <x:c r="D38" s="58"/>
      <x:c r="E38" s="58"/>
      <x:c r="F38" s="58"/>
      <x:c r="G38" s="58"/>
      <x:c r="H38" s="58"/>
    </x:row>
    <x:row r="39">
      <x:c r="A39" s="55" t="str">
        <x:v>Mediana: curva suave entre 200 e 800 baseada na proporção de acertos p (3p² − 2p³), acrescida do deslocamento vertical do ano, que é máximo no centro e nulo nos extremos. Envelope: dispersão-base × ajuste da área × √(10/nº de itens) × 4p(1−p). Assim, provas curtas recebem intervalos mais largos. A escala do 6º ano é independente. A escala 7º–9º só se tornará verdadeiramente vertical após itens comuns/âncoras e calibração conjunta. O quadro GERAL é uma aproximação por total bruto; para interpretação pedagógica, priorize as áreas.</x:v>
      </x:c>
      <x:c r="B39" s="55"/>
      <x:c r="C39" s="55"/>
      <x:c r="D39" s="55"/>
      <x:c r="E39" s="55"/>
      <x:c r="F39" s="55"/>
      <x:c r="G39" s="55"/>
      <x:c r="H39" s="55"/>
    </x:row>
    <x:row r="40">
      <x:c r="A40" s="55"/>
      <x:c r="B40" s="55"/>
      <x:c r="C40" s="55"/>
      <x:c r="D40" s="55"/>
      <x:c r="E40" s="55"/>
      <x:c r="F40" s="55"/>
      <x:c r="G40" s="55"/>
      <x:c r="H40" s="55"/>
    </x:row>
    <x:row r="41">
      <x:c r="A41" s="55"/>
      <x:c r="B41" s="55"/>
      <x:c r="C41" s="55"/>
      <x:c r="D41" s="55"/>
      <x:c r="E41" s="55"/>
      <x:c r="F41" s="55"/>
      <x:c r="G41" s="55"/>
      <x:c r="H41" s="55"/>
    </x:row>
    <x:row r="42">
      <x:c r="A42" s="55"/>
      <x:c r="B42" s="55"/>
      <x:c r="C42" s="55"/>
      <x:c r="D42" s="55"/>
      <x:c r="E42" s="55"/>
      <x:c r="F42" s="55"/>
      <x:c r="G42" s="55"/>
      <x:c r="H42" s="55"/>
    </x:row>
    <x:row r="43">
      <x:c r="A43" s="55"/>
      <x:c r="B43" s="55"/>
      <x:c r="C43" s="55"/>
      <x:c r="D43" s="55"/>
      <x:c r="E43" s="55"/>
      <x:c r="F43" s="55"/>
      <x:c r="G43" s="55"/>
      <x:c r="H43" s="55"/>
    </x:row>
    <x:row r="44">
      <x:c r="A44" s="53"/>
      <x:c r="B44" s="53"/>
      <x:c r="C44" s="53"/>
      <x:c r="D44" s="53"/>
      <x:c r="E44" s="53"/>
      <x:c r="F44" s="53"/>
      <x:c r="G44" s="53"/>
      <x:c r="H44" s="53"/>
    </x:row>
    <x:row r="45">
      <x:c r="A45" s="60" t="str">
        <x:v>Referência estrutural: planilha ‘TRI ENEM DE 2009 A 2023 MIN MED E MAX.xlsx’. Distribuição de itens: documentos SAS fornecidos pelo usuário. Versão da hipótese: 2026-08-12.</x:v>
      </x:c>
      <x:c r="B45" s="60"/>
      <x:c r="C45" s="60"/>
      <x:c r="D45" s="60"/>
      <x:c r="E45" s="60"/>
      <x:c r="F45" s="60"/>
      <x:c r="G45" s="60"/>
      <x:c r="H45" s="60"/>
    </x:row>
  </x:sheetData>
  <x:mergeCells>
    <x:mergeCell ref="A1:H1"/>
    <x:mergeCell ref="A2:H2"/>
    <x:mergeCell ref="D4:H7"/>
    <x:mergeCell ref="A9:H9"/>
    <x:mergeCell ref="A18:G18"/>
    <x:mergeCell ref="A26:C26"/>
    <x:mergeCell ref="E26:G26"/>
    <x:mergeCell ref="A38:H38"/>
    <x:mergeCell ref="A39:H43"/>
    <x:mergeCell ref="A45:H4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8" hidden="0" customWidth="1"/>
    <x:col min="4" max="4" width="14" hidden="0" customWidth="1"/>
    <x:col min="5" max="5" width="24" hidden="0" customWidth="1"/>
    <x:col min="6" max="6" width="11" hidden="0" customWidth="1"/>
    <x:col min="7" max="7" width="11" hidden="0" customWidth="1"/>
    <x:col min="8" max="8" width="13" hidden="0" customWidth="1"/>
    <x:col min="9" max="9" width="14" hidden="0" customWidth="1"/>
    <x:col min="10" max="10" width="14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3" hidden="0" customWidth="1"/>
  </x:cols>
  <x:sheetData>
    <x:row r="1" ht="32" customHeight="1">
      <x:c r="A1" s="58" t="str">
        <x:v>Escala</x:v>
      </x:c>
      <x:c r="B1" s="58" t="str">
        <x:v>Ano escolar</x:v>
      </x:c>
      <x:c r="C1" s="58" t="str">
        <x:v>Prova ID</x:v>
      </x:c>
      <x:c r="D1" s="58" t="str">
        <x:v>Código da área</x:v>
      </x:c>
      <x:c r="E1" s="58" t="str">
        <x:v>Área</x:v>
      </x:c>
      <x:c r="F1" s="58" t="str">
        <x:v>Nº de itens</x:v>
      </x:c>
      <x:c r="G1" s="58" t="str">
        <x:v>Acertos</x:v>
      </x:c>
      <x:c r="H1" s="58" t="str">
        <x:v>% de acertos</x:v>
      </x:c>
      <x:c r="I1" s="58" t="str">
        <x:v>Deslocamento</x:v>
      </x:c>
      <x:c r="J1" s="58" t="str">
        <x:v>Ajuste área</x:v>
      </x:c>
      <x:c r="K1" s="58" t="str">
        <x:v>Mínimo</x:v>
      </x:c>
      <x:c r="L1" s="58" t="str">
        <x:v>Mediana</x:v>
      </x:c>
      <x:c r="M1" s="58" t="str">
        <x:v>Máximo</x:v>
      </x:c>
      <x:c r="N1" s="58" t="str">
        <x:v>Amplitude</x:v>
      </x:c>
      <x:c r="O1" s="58" t="str">
        <x:v>Status</x:v>
      </x:c>
    </x:row>
    <x:row r="2">
      <x:c r="A2" s="66" t="str">
        <x:v>Escala 6º ano</x:v>
      </x:c>
      <x:c r="B2" s="66" t="str">
        <x:v>6º ano</x:v>
      </x:c>
      <x:c r="C2" s="66" t="str">
        <x:v>MODELO_6_ANO</x:v>
      </x:c>
      <x:c r="D2" s="66" t="str">
        <x:v>GERAL</x:v>
      </x:c>
      <x:c r="E2" s="66" t="str">
        <x:v>Geral (total bruto)</x:v>
      </x:c>
      <x:c r="F2" s="66" t="n">
        <x:v>50</x:v>
      </x:c>
      <x:c r="G2" s="66" t="n">
        <x:v>0</x:v>
      </x:c>
      <x:c r="H2" s="67" t="n">
        <x:f>G2/F2</x:f>
        <x:v>0</x:v>
      </x:c>
      <x:c r="I2" s="68" t="n">
        <x:f>'Premissas'!$B$12</x:f>
        <x:v>0</x:v>
      </x:c>
      <x:c r="J2" s="68" t="n">
        <x:f>'Premissas'!$G$12</x:f>
        <x:v>1</x:v>
      </x:c>
      <x:c r="K2" s="69" t="n">
        <x:f>ROUND(MAX('Premissas'!$B$5,L2-N2),1)</x:f>
        <x:v>200</x:v>
      </x:c>
      <x:c r="L2" s="69" t="n">
        <x:f>ROUND(MAX('Premissas'!$B$5,MIN('Premissas'!$B$6,'Premissas'!$B$5+('Premissas'!$B$6-'Premissas'!$B$5)*(3*H2^2-2*H2^3)+I2*4*H2*(1-H2))),1)</x:f>
        <x:v>200</x:v>
      </x:c>
      <x:c r="M2" s="69" t="n">
        <x:f>ROUND(MIN('Premissas'!$B$6,L2+N2),1)</x:f>
        <x:v>200</x:v>
      </x:c>
      <x:c r="N2" s="69" t="n">
        <x:f>ROUND('Premissas'!$B$7*J2*SQRT(10/F2)*4*H2*(1-H2),1)</x:f>
        <x:v>0</x:v>
      </x:c>
      <x:c r="O2" s="66" t="str">
        <x:v>PROVISÓRIA</x:v>
      </x:c>
    </x:row>
    <x:row r="3">
      <x:c r="A3" s="56" t="str">
        <x:v>Escala 6º ano</x:v>
      </x:c>
      <x:c r="B3" s="56" t="str">
        <x:v>6º ano</x:v>
      </x:c>
      <x:c r="C3" s="56" t="str">
        <x:v>MODELO_6_ANO</x:v>
      </x:c>
      <x:c r="D3" s="56" t="str">
        <x:v>GERAL</x:v>
      </x:c>
      <x:c r="E3" s="56" t="str">
        <x:v>Geral (total bruto)</x:v>
      </x:c>
      <x:c r="F3" s="56" t="n">
        <x:v>50</x:v>
      </x:c>
      <x:c r="G3" s="56" t="n">
        <x:v>1</x:v>
      </x:c>
      <x:c r="H3" s="70" t="n">
        <x:f>G3/F3</x:f>
        <x:v>0.02</x:v>
      </x:c>
      <x:c r="I3" s="59" t="n">
        <x:f>'Premissas'!$B$12</x:f>
        <x:v>0</x:v>
      </x:c>
      <x:c r="J3" s="59" t="n">
        <x:f>'Premissas'!$G$12</x:f>
        <x:v>1</x:v>
      </x:c>
      <x:c r="K3" s="57" t="n">
        <x:f>ROUND(MAX('Premissas'!$B$5,L3-N3),1)</x:f>
        <x:v>200</x:v>
      </x:c>
      <x:c r="L3" s="57" t="n">
        <x:f>ROUND(MAX('Premissas'!$B$5,MIN('Premissas'!$B$6,'Premissas'!$B$5+('Premissas'!$B$6-'Premissas'!$B$5)*(3*H3^2-2*H3^3)+I3*4*H3*(1-H3))),1)</x:f>
        <x:v>200.7</x:v>
      </x:c>
      <x:c r="M3" s="57" t="n">
        <x:f>ROUND(MIN('Premissas'!$B$6,L3+N3),1)</x:f>
        <x:v>203.7</x:v>
      </x:c>
      <x:c r="N3" s="57" t="n">
        <x:f>ROUND('Premissas'!$B$7*J3*SQRT(10/F3)*4*H3*(1-H3),1)</x:f>
        <x:v>3</x:v>
      </x:c>
      <x:c r="O3" s="56" t="str">
        <x:v>PROVISÓRIA</x:v>
      </x:c>
    </x:row>
    <x:row r="4">
      <x:c r="A4" s="66" t="str">
        <x:v>Escala 6º ano</x:v>
      </x:c>
      <x:c r="B4" s="66" t="str">
        <x:v>6º ano</x:v>
      </x:c>
      <x:c r="C4" s="66" t="str">
        <x:v>MODELO_6_ANO</x:v>
      </x:c>
      <x:c r="D4" s="66" t="str">
        <x:v>GERAL</x:v>
      </x:c>
      <x:c r="E4" s="66" t="str">
        <x:v>Geral (total bruto)</x:v>
      </x:c>
      <x:c r="F4" s="66" t="n">
        <x:v>50</x:v>
      </x:c>
      <x:c r="G4" s="66" t="n">
        <x:v>2</x:v>
      </x:c>
      <x:c r="H4" s="67" t="n">
        <x:f>G4/F4</x:f>
        <x:v>0.04</x:v>
      </x:c>
      <x:c r="I4" s="68" t="n">
        <x:f>'Premissas'!$B$12</x:f>
        <x:v>0</x:v>
      </x:c>
      <x:c r="J4" s="68" t="n">
        <x:f>'Premissas'!$G$12</x:f>
        <x:v>1</x:v>
      </x:c>
      <x:c r="K4" s="69" t="n">
        <x:f>ROUND(MAX('Premissas'!$B$5,L4-N4),1)</x:f>
        <x:v>200</x:v>
      </x:c>
      <x:c r="L4" s="69" t="n">
        <x:f>ROUND(MAX('Premissas'!$B$5,MIN('Premissas'!$B$6,'Premissas'!$B$5+('Premissas'!$B$6-'Premissas'!$B$5)*(3*H4^2-2*H4^3)+I4*4*H4*(1-H4))),1)</x:f>
        <x:v>202.8</x:v>
      </x:c>
      <x:c r="M4" s="69" t="n">
        <x:f>ROUND(MIN('Premissas'!$B$6,L4+N4),1)</x:f>
        <x:v>208.6</x:v>
      </x:c>
      <x:c r="N4" s="69" t="n">
        <x:f>ROUND('Premissas'!$B$7*J4*SQRT(10/F4)*4*H4*(1-H4),1)</x:f>
        <x:v>5.8</x:v>
      </x:c>
      <x:c r="O4" s="66" t="str">
        <x:v>PROVISÓRIA</x:v>
      </x:c>
    </x:row>
    <x:row r="5">
      <x:c r="A5" s="56" t="str">
        <x:v>Escala 6º ano</x:v>
      </x:c>
      <x:c r="B5" s="56" t="str">
        <x:v>6º ano</x:v>
      </x:c>
      <x:c r="C5" s="56" t="str">
        <x:v>MODELO_6_ANO</x:v>
      </x:c>
      <x:c r="D5" s="56" t="str">
        <x:v>GERAL</x:v>
      </x:c>
      <x:c r="E5" s="56" t="str">
        <x:v>Geral (total bruto)</x:v>
      </x:c>
      <x:c r="F5" s="56" t="n">
        <x:v>50</x:v>
      </x:c>
      <x:c r="G5" s="56" t="n">
        <x:v>3</x:v>
      </x:c>
      <x:c r="H5" s="70" t="n">
        <x:f>G5/F5</x:f>
        <x:v>0.06</x:v>
      </x:c>
      <x:c r="I5" s="59" t="n">
        <x:f>'Premissas'!$B$12</x:f>
        <x:v>0</x:v>
      </x:c>
      <x:c r="J5" s="59" t="n">
        <x:f>'Premissas'!$G$12</x:f>
        <x:v>1</x:v>
      </x:c>
      <x:c r="K5" s="57" t="n">
        <x:f>ROUND(MAX('Premissas'!$B$5,L5-N5),1)</x:f>
        <x:v>200</x:v>
      </x:c>
      <x:c r="L5" s="57" t="n">
        <x:f>ROUND(MAX('Premissas'!$B$5,MIN('Premissas'!$B$6,'Premissas'!$B$5+('Premissas'!$B$6-'Premissas'!$B$5)*(3*H5^2-2*H5^3)+I5*4*H5*(1-H5))),1)</x:f>
        <x:v>206.2</x:v>
      </x:c>
      <x:c r="M5" s="57" t="n">
        <x:f>ROUND(MIN('Premissas'!$B$6,L5+N5),1)</x:f>
        <x:v>214.8</x:v>
      </x:c>
      <x:c r="N5" s="57" t="n">
        <x:f>ROUND('Premissas'!$B$7*J5*SQRT(10/F5)*4*H5*(1-H5),1)</x:f>
        <x:v>8.6</x:v>
      </x:c>
      <x:c r="O5" s="56" t="str">
        <x:v>PROVISÓRIA</x:v>
      </x:c>
    </x:row>
    <x:row r="6">
      <x:c r="A6" s="66" t="str">
        <x:v>Escala 6º ano</x:v>
      </x:c>
      <x:c r="B6" s="66" t="str">
        <x:v>6º ano</x:v>
      </x:c>
      <x:c r="C6" s="66" t="str">
        <x:v>MODELO_6_ANO</x:v>
      </x:c>
      <x:c r="D6" s="66" t="str">
        <x:v>GERAL</x:v>
      </x:c>
      <x:c r="E6" s="66" t="str">
        <x:v>Geral (total bruto)</x:v>
      </x:c>
      <x:c r="F6" s="66" t="n">
        <x:v>50</x:v>
      </x:c>
      <x:c r="G6" s="66" t="n">
        <x:v>4</x:v>
      </x:c>
      <x:c r="H6" s="67" t="n">
        <x:f>G6/F6</x:f>
        <x:v>0.08</x:v>
      </x:c>
      <x:c r="I6" s="68" t="n">
        <x:f>'Premissas'!$B$12</x:f>
        <x:v>0</x:v>
      </x:c>
      <x:c r="J6" s="68" t="n">
        <x:f>'Premissas'!$G$12</x:f>
        <x:v>1</x:v>
      </x:c>
      <x:c r="K6" s="69" t="n">
        <x:f>ROUND(MAX('Premissas'!$B$5,L6-N6),1)</x:f>
        <x:v>200</x:v>
      </x:c>
      <x:c r="L6" s="69" t="n">
        <x:f>ROUND(MAX('Premissas'!$B$5,MIN('Premissas'!$B$6,'Premissas'!$B$5+('Premissas'!$B$6-'Premissas'!$B$5)*(3*H6^2-2*H6^3)+I6*4*H6*(1-H6))),1)</x:f>
        <x:v>210.9</x:v>
      </x:c>
      <x:c r="M6" s="69" t="n">
        <x:f>ROUND(MIN('Premissas'!$B$6,L6+N6),1)</x:f>
        <x:v>222.1</x:v>
      </x:c>
      <x:c r="N6" s="69" t="n">
        <x:f>ROUND('Premissas'!$B$7*J6*SQRT(10/F6)*4*H6*(1-H6),1)</x:f>
        <x:v>11.2</x:v>
      </x:c>
      <x:c r="O6" s="66" t="str">
        <x:v>PROVISÓRIA</x:v>
      </x:c>
    </x:row>
    <x:row r="7">
      <x:c r="A7" s="56" t="str">
        <x:v>Escala 6º ano</x:v>
      </x:c>
      <x:c r="B7" s="56" t="str">
        <x:v>6º ano</x:v>
      </x:c>
      <x:c r="C7" s="56" t="str">
        <x:v>MODELO_6_ANO</x:v>
      </x:c>
      <x:c r="D7" s="56" t="str">
        <x:v>GERAL</x:v>
      </x:c>
      <x:c r="E7" s="56" t="str">
        <x:v>Geral (total bruto)</x:v>
      </x:c>
      <x:c r="F7" s="56" t="n">
        <x:v>50</x:v>
      </x:c>
      <x:c r="G7" s="56" t="n">
        <x:v>5</x:v>
      </x:c>
      <x:c r="H7" s="70" t="n">
        <x:f>G7/F7</x:f>
        <x:v>0.1</x:v>
      </x:c>
      <x:c r="I7" s="59" t="n">
        <x:f>'Premissas'!$B$12</x:f>
        <x:v>0</x:v>
      </x:c>
      <x:c r="J7" s="59" t="n">
        <x:f>'Premissas'!$G$12</x:f>
        <x:v>1</x:v>
      </x:c>
      <x:c r="K7" s="57" t="n">
        <x:f>ROUND(MAX('Premissas'!$B$5,L7-N7),1)</x:f>
        <x:v>203.1</x:v>
      </x:c>
      <x:c r="L7" s="57" t="n">
        <x:f>ROUND(MAX('Premissas'!$B$5,MIN('Premissas'!$B$6,'Premissas'!$B$5+('Premissas'!$B$6-'Premissas'!$B$5)*(3*H7^2-2*H7^3)+I7*4*H7*(1-H7))),1)</x:f>
        <x:v>216.8</x:v>
      </x:c>
      <x:c r="M7" s="57" t="n">
        <x:f>ROUND(MIN('Premissas'!$B$6,L7+N7),1)</x:f>
        <x:v>230.5</x:v>
      </x:c>
      <x:c r="N7" s="57" t="n">
        <x:f>ROUND('Premissas'!$B$7*J7*SQRT(10/F7)*4*H7*(1-H7),1)</x:f>
        <x:v>13.7</x:v>
      </x:c>
      <x:c r="O7" s="56" t="str">
        <x:v>PROVISÓRIA</x:v>
      </x:c>
    </x:row>
    <x:row r="8">
      <x:c r="A8" s="66" t="str">
        <x:v>Escala 6º ano</x:v>
      </x:c>
      <x:c r="B8" s="66" t="str">
        <x:v>6º ano</x:v>
      </x:c>
      <x:c r="C8" s="66" t="str">
        <x:v>MODELO_6_ANO</x:v>
      </x:c>
      <x:c r="D8" s="66" t="str">
        <x:v>GERAL</x:v>
      </x:c>
      <x:c r="E8" s="66" t="str">
        <x:v>Geral (total bruto)</x:v>
      </x:c>
      <x:c r="F8" s="66" t="n">
        <x:v>50</x:v>
      </x:c>
      <x:c r="G8" s="66" t="n">
        <x:v>6</x:v>
      </x:c>
      <x:c r="H8" s="67" t="n">
        <x:f>G8/F8</x:f>
        <x:v>0.12</x:v>
      </x:c>
      <x:c r="I8" s="68" t="n">
        <x:f>'Premissas'!$B$12</x:f>
        <x:v>0</x:v>
      </x:c>
      <x:c r="J8" s="68" t="n">
        <x:f>'Premissas'!$G$12</x:f>
        <x:v>1</x:v>
      </x:c>
      <x:c r="K8" s="69" t="n">
        <x:f>ROUND(MAX('Premissas'!$B$5,L8-N8),1)</x:f>
        <x:v>207.7</x:v>
      </x:c>
      <x:c r="L8" s="69" t="n">
        <x:f>ROUND(MAX('Premissas'!$B$5,MIN('Premissas'!$B$6,'Premissas'!$B$5+('Premissas'!$B$6-'Premissas'!$B$5)*(3*H8^2-2*H8^3)+I8*4*H8*(1-H8))),1)</x:f>
        <x:v>223.8</x:v>
      </x:c>
      <x:c r="M8" s="69" t="n">
        <x:f>ROUND(MIN('Premissas'!$B$6,L8+N8),1)</x:f>
        <x:v>239.9</x:v>
      </x:c>
      <x:c r="N8" s="69" t="n">
        <x:f>ROUND('Premissas'!$B$7*J8*SQRT(10/F8)*4*H8*(1-H8),1)</x:f>
        <x:v>16.1</x:v>
      </x:c>
      <x:c r="O8" s="66" t="str">
        <x:v>PROVISÓRIA</x:v>
      </x:c>
    </x:row>
    <x:row r="9">
      <x:c r="A9" s="56" t="str">
        <x:v>Escala 6º ano</x:v>
      </x:c>
      <x:c r="B9" s="56" t="str">
        <x:v>6º ano</x:v>
      </x:c>
      <x:c r="C9" s="56" t="str">
        <x:v>MODELO_6_ANO</x:v>
      </x:c>
      <x:c r="D9" s="56" t="str">
        <x:v>GERAL</x:v>
      </x:c>
      <x:c r="E9" s="56" t="str">
        <x:v>Geral (total bruto)</x:v>
      </x:c>
      <x:c r="F9" s="56" t="n">
        <x:v>50</x:v>
      </x:c>
      <x:c r="G9" s="56" t="n">
        <x:v>7</x:v>
      </x:c>
      <x:c r="H9" s="70" t="n">
        <x:f>G9/F9</x:f>
        <x:v>0.14</x:v>
      </x:c>
      <x:c r="I9" s="59" t="n">
        <x:f>'Premissas'!$B$12</x:f>
        <x:v>0</x:v>
      </x:c>
      <x:c r="J9" s="59" t="n">
        <x:f>'Premissas'!$G$12</x:f>
        <x:v>1</x:v>
      </x:c>
      <x:c r="K9" s="57" t="n">
        <x:f>ROUND(MAX('Premissas'!$B$5,L9-N9),1)</x:f>
        <x:v>213.7</x:v>
      </x:c>
      <x:c r="L9" s="57" t="n">
        <x:f>ROUND(MAX('Premissas'!$B$5,MIN('Premissas'!$B$6,'Premissas'!$B$5+('Premissas'!$B$6-'Premissas'!$B$5)*(3*H9^2-2*H9^3)+I9*4*H9*(1-H9))),1)</x:f>
        <x:v>232</x:v>
      </x:c>
      <x:c r="M9" s="57" t="n">
        <x:f>ROUND(MIN('Premissas'!$B$6,L9+N9),1)</x:f>
        <x:v>250.3</x:v>
      </x:c>
      <x:c r="N9" s="57" t="n">
        <x:f>ROUND('Premissas'!$B$7*J9*SQRT(10/F9)*4*H9*(1-H9),1)</x:f>
        <x:v>18.3</x:v>
      </x:c>
      <x:c r="O9" s="56" t="str">
        <x:v>PROVISÓRIA</x:v>
      </x:c>
    </x:row>
    <x:row r="10">
      <x:c r="A10" s="66" t="str">
        <x:v>Escala 6º ano</x:v>
      </x:c>
      <x:c r="B10" s="66" t="str">
        <x:v>6º ano</x:v>
      </x:c>
      <x:c r="C10" s="66" t="str">
        <x:v>MODELO_6_ANO</x:v>
      </x:c>
      <x:c r="D10" s="66" t="str">
        <x:v>GERAL</x:v>
      </x:c>
      <x:c r="E10" s="66" t="str">
        <x:v>Geral (total bruto)</x:v>
      </x:c>
      <x:c r="F10" s="66" t="n">
        <x:v>50</x:v>
      </x:c>
      <x:c r="G10" s="66" t="n">
        <x:v>8</x:v>
      </x:c>
      <x:c r="H10" s="67" t="n">
        <x:f>G10/F10</x:f>
        <x:v>0.16</x:v>
      </x:c>
      <x:c r="I10" s="68" t="n">
        <x:f>'Premissas'!$B$12</x:f>
        <x:v>0</x:v>
      </x:c>
      <x:c r="J10" s="68" t="n">
        <x:f>'Premissas'!$G$12</x:f>
        <x:v>1</x:v>
      </x:c>
      <x:c r="K10" s="69" t="n">
        <x:f>ROUND(MAX('Premissas'!$B$5,L10-N10),1)</x:f>
        <x:v>220.8</x:v>
      </x:c>
      <x:c r="L10" s="69" t="n">
        <x:f>ROUND(MAX('Premissas'!$B$5,MIN('Premissas'!$B$6,'Premissas'!$B$5+('Premissas'!$B$6-'Premissas'!$B$5)*(3*H10^2-2*H10^3)+I10*4*H10*(1-H10))),1)</x:f>
        <x:v>241.2</x:v>
      </x:c>
      <x:c r="M10" s="69" t="n">
        <x:f>ROUND(MIN('Premissas'!$B$6,L10+N10),1)</x:f>
        <x:v>261.6</x:v>
      </x:c>
      <x:c r="N10" s="69" t="n">
        <x:f>ROUND('Premissas'!$B$7*J10*SQRT(10/F10)*4*H10*(1-H10),1)</x:f>
        <x:v>20.4</x:v>
      </x:c>
      <x:c r="O10" s="66" t="str">
        <x:v>PROVISÓRIA</x:v>
      </x:c>
    </x:row>
    <x:row r="11">
      <x:c r="A11" s="56" t="str">
        <x:v>Escala 6º ano</x:v>
      </x:c>
      <x:c r="B11" s="56" t="str">
        <x:v>6º ano</x:v>
      </x:c>
      <x:c r="C11" s="56" t="str">
        <x:v>MODELO_6_ANO</x:v>
      </x:c>
      <x:c r="D11" s="56" t="str">
        <x:v>GERAL</x:v>
      </x:c>
      <x:c r="E11" s="56" t="str">
        <x:v>Geral (total bruto)</x:v>
      </x:c>
      <x:c r="F11" s="56" t="n">
        <x:v>50</x:v>
      </x:c>
      <x:c r="G11" s="56" t="n">
        <x:v>9</x:v>
      </x:c>
      <x:c r="H11" s="70" t="n">
        <x:f>G11/F11</x:f>
        <x:v>0.18</x:v>
      </x:c>
      <x:c r="I11" s="59" t="n">
        <x:f>'Premissas'!$B$12</x:f>
        <x:v>0</x:v>
      </x:c>
      <x:c r="J11" s="59" t="n">
        <x:f>'Premissas'!$G$12</x:f>
        <x:v>1</x:v>
      </x:c>
      <x:c r="K11" s="57" t="n">
        <x:f>ROUND(MAX('Premissas'!$B$5,L11-N11),1)</x:f>
        <x:v>228.9</x:v>
      </x:c>
      <x:c r="L11" s="57" t="n">
        <x:f>ROUND(MAX('Premissas'!$B$5,MIN('Premissas'!$B$6,'Premissas'!$B$5+('Premissas'!$B$6-'Premissas'!$B$5)*(3*H11^2-2*H11^3)+I11*4*H11*(1-H11))),1)</x:f>
        <x:v>251.3</x:v>
      </x:c>
      <x:c r="M11" s="57" t="n">
        <x:f>ROUND(MIN('Premissas'!$B$6,L11+N11),1)</x:f>
        <x:v>273.7</x:v>
      </x:c>
      <x:c r="N11" s="57" t="n">
        <x:f>ROUND('Premissas'!$B$7*J11*SQRT(10/F11)*4*H11*(1-H11),1)</x:f>
        <x:v>22.4</x:v>
      </x:c>
      <x:c r="O11" s="56" t="str">
        <x:v>PROVISÓRIA</x:v>
      </x:c>
    </x:row>
    <x:row r="12">
      <x:c r="A12" s="66" t="str">
        <x:v>Escala 6º ano</x:v>
      </x:c>
      <x:c r="B12" s="66" t="str">
        <x:v>6º ano</x:v>
      </x:c>
      <x:c r="C12" s="66" t="str">
        <x:v>MODELO_6_ANO</x:v>
      </x:c>
      <x:c r="D12" s="66" t="str">
        <x:v>GERAL</x:v>
      </x:c>
      <x:c r="E12" s="66" t="str">
        <x:v>Geral (total bruto)</x:v>
      </x:c>
      <x:c r="F12" s="66" t="n">
        <x:v>50</x:v>
      </x:c>
      <x:c r="G12" s="66" t="n">
        <x:v>10</x:v>
      </x:c>
      <x:c r="H12" s="67" t="n">
        <x:f>G12/F12</x:f>
        <x:v>0.2</x:v>
      </x:c>
      <x:c r="I12" s="68" t="n">
        <x:f>'Premissas'!$B$12</x:f>
        <x:v>0</x:v>
      </x:c>
      <x:c r="J12" s="68" t="n">
        <x:f>'Premissas'!$G$12</x:f>
        <x:v>1</x:v>
      </x:c>
      <x:c r="K12" s="69" t="n">
        <x:f>ROUND(MAX('Premissas'!$B$5,L12-N12),1)</x:f>
        <x:v>238.1</x:v>
      </x:c>
      <x:c r="L12" s="69" t="n">
        <x:f>ROUND(MAX('Premissas'!$B$5,MIN('Premissas'!$B$6,'Premissas'!$B$5+('Premissas'!$B$6-'Premissas'!$B$5)*(3*H12^2-2*H12^3)+I12*4*H12*(1-H12))),1)</x:f>
        <x:v>262.4</x:v>
      </x:c>
      <x:c r="M12" s="69" t="n">
        <x:f>ROUND(MIN('Premissas'!$B$6,L12+N12),1)</x:f>
        <x:v>286.7</x:v>
      </x:c>
      <x:c r="N12" s="69" t="n">
        <x:f>ROUND('Premissas'!$B$7*J12*SQRT(10/F12)*4*H12*(1-H12),1)</x:f>
        <x:v>24.3</x:v>
      </x:c>
      <x:c r="O12" s="66" t="str">
        <x:v>PROVISÓRIA</x:v>
      </x:c>
    </x:row>
    <x:row r="13">
      <x:c r="A13" s="56" t="str">
        <x:v>Escala 6º ano</x:v>
      </x:c>
      <x:c r="B13" s="56" t="str">
        <x:v>6º ano</x:v>
      </x:c>
      <x:c r="C13" s="56" t="str">
        <x:v>MODELO_6_ANO</x:v>
      </x:c>
      <x:c r="D13" s="56" t="str">
        <x:v>GERAL</x:v>
      </x:c>
      <x:c r="E13" s="56" t="str">
        <x:v>Geral (total bruto)</x:v>
      </x:c>
      <x:c r="F13" s="56" t="n">
        <x:v>50</x:v>
      </x:c>
      <x:c r="G13" s="56" t="n">
        <x:v>11</x:v>
      </x:c>
      <x:c r="H13" s="70" t="n">
        <x:f>G13/F13</x:f>
        <x:v>0.22</x:v>
      </x:c>
      <x:c r="I13" s="59" t="n">
        <x:f>'Premissas'!$B$12</x:f>
        <x:v>0</x:v>
      </x:c>
      <x:c r="J13" s="59" t="n">
        <x:f>'Premissas'!$G$12</x:f>
        <x:v>1</x:v>
      </x:c>
      <x:c r="K13" s="57" t="n">
        <x:f>ROUND(MAX('Premissas'!$B$5,L13-N13),1)</x:f>
        <x:v>248.2</x:v>
      </x:c>
      <x:c r="L13" s="57" t="n">
        <x:f>ROUND(MAX('Premissas'!$B$5,MIN('Premissas'!$B$6,'Premissas'!$B$5+('Premissas'!$B$6-'Premissas'!$B$5)*(3*H13^2-2*H13^3)+I13*4*H13*(1-H13))),1)</x:f>
        <x:v>274.3</x:v>
      </x:c>
      <x:c r="M13" s="57" t="n">
        <x:f>ROUND(MIN('Premissas'!$B$6,L13+N13),1)</x:f>
        <x:v>300.4</x:v>
      </x:c>
      <x:c r="N13" s="57" t="n">
        <x:f>ROUND('Premissas'!$B$7*J13*SQRT(10/F13)*4*H13*(1-H13),1)</x:f>
        <x:v>26.1</x:v>
      </x:c>
      <x:c r="O13" s="56" t="str">
        <x:v>PROVISÓRIA</x:v>
      </x:c>
    </x:row>
    <x:row r="14">
      <x:c r="A14" s="66" t="str">
        <x:v>Escala 6º ano</x:v>
      </x:c>
      <x:c r="B14" s="66" t="str">
        <x:v>6º ano</x:v>
      </x:c>
      <x:c r="C14" s="66" t="str">
        <x:v>MODELO_6_ANO</x:v>
      </x:c>
      <x:c r="D14" s="66" t="str">
        <x:v>GERAL</x:v>
      </x:c>
      <x:c r="E14" s="66" t="str">
        <x:v>Geral (total bruto)</x:v>
      </x:c>
      <x:c r="F14" s="66" t="n">
        <x:v>50</x:v>
      </x:c>
      <x:c r="G14" s="66" t="n">
        <x:v>12</x:v>
      </x:c>
      <x:c r="H14" s="67" t="n">
        <x:f>G14/F14</x:f>
        <x:v>0.24</x:v>
      </x:c>
      <x:c r="I14" s="68" t="n">
        <x:f>'Premissas'!$B$12</x:f>
        <x:v>0</x:v>
      </x:c>
      <x:c r="J14" s="68" t="n">
        <x:f>'Premissas'!$G$12</x:f>
        <x:v>1</x:v>
      </x:c>
      <x:c r="K14" s="69" t="n">
        <x:f>ROUND(MAX('Premissas'!$B$5,L14-N14),1)</x:f>
        <x:v>259.4</x:v>
      </x:c>
      <x:c r="L14" s="69" t="n">
        <x:f>ROUND(MAX('Premissas'!$B$5,MIN('Premissas'!$B$6,'Premissas'!$B$5+('Premissas'!$B$6-'Premissas'!$B$5)*(3*H14^2-2*H14^3)+I14*4*H14*(1-H14))),1)</x:f>
        <x:v>287.1</x:v>
      </x:c>
      <x:c r="M14" s="69" t="n">
        <x:f>ROUND(MIN('Premissas'!$B$6,L14+N14),1)</x:f>
        <x:v>314.8</x:v>
      </x:c>
      <x:c r="N14" s="69" t="n">
        <x:f>ROUND('Premissas'!$B$7*J14*SQRT(10/F14)*4*H14*(1-H14),1)</x:f>
        <x:v>27.7</x:v>
      </x:c>
      <x:c r="O14" s="66" t="str">
        <x:v>PROVISÓRIA</x:v>
      </x:c>
    </x:row>
    <x:row r="15">
      <x:c r="A15" s="56" t="str">
        <x:v>Escala 6º ano</x:v>
      </x:c>
      <x:c r="B15" s="56" t="str">
        <x:v>6º ano</x:v>
      </x:c>
      <x:c r="C15" s="56" t="str">
        <x:v>MODELO_6_ANO</x:v>
      </x:c>
      <x:c r="D15" s="56" t="str">
        <x:v>GERAL</x:v>
      </x:c>
      <x:c r="E15" s="56" t="str">
        <x:v>Geral (total bruto)</x:v>
      </x:c>
      <x:c r="F15" s="56" t="n">
        <x:v>50</x:v>
      </x:c>
      <x:c r="G15" s="56" t="n">
        <x:v>13</x:v>
      </x:c>
      <x:c r="H15" s="70" t="n">
        <x:f>G15/F15</x:f>
        <x:v>0.26</x:v>
      </x:c>
      <x:c r="I15" s="59" t="n">
        <x:f>'Premissas'!$B$12</x:f>
        <x:v>0</x:v>
      </x:c>
      <x:c r="J15" s="59" t="n">
        <x:f>'Premissas'!$G$12</x:f>
        <x:v>1</x:v>
      </x:c>
      <x:c r="K15" s="57" t="n">
        <x:f>ROUND(MAX('Premissas'!$B$5,L15-N15),1)</x:f>
        <x:v>271.3</x:v>
      </x:c>
      <x:c r="L15" s="57" t="n">
        <x:f>ROUND(MAX('Premissas'!$B$5,MIN('Premissas'!$B$6,'Premissas'!$B$5+('Premissas'!$B$6-'Premissas'!$B$5)*(3*H15^2-2*H15^3)+I15*4*H15*(1-H15))),1)</x:f>
        <x:v>300.6</x:v>
      </x:c>
      <x:c r="M15" s="57" t="n">
        <x:f>ROUND(MIN('Premissas'!$B$6,L15+N15),1)</x:f>
        <x:v>329.9</x:v>
      </x:c>
      <x:c r="N15" s="57" t="n">
        <x:f>ROUND('Premissas'!$B$7*J15*SQRT(10/F15)*4*H15*(1-H15),1)</x:f>
        <x:v>29.3</x:v>
      </x:c>
      <x:c r="O15" s="56" t="str">
        <x:v>PROVISÓRIA</x:v>
      </x:c>
    </x:row>
    <x:row r="16">
      <x:c r="A16" s="66" t="str">
        <x:v>Escala 6º ano</x:v>
      </x:c>
      <x:c r="B16" s="66" t="str">
        <x:v>6º ano</x:v>
      </x:c>
      <x:c r="C16" s="66" t="str">
        <x:v>MODELO_6_ANO</x:v>
      </x:c>
      <x:c r="D16" s="66" t="str">
        <x:v>GERAL</x:v>
      </x:c>
      <x:c r="E16" s="66" t="str">
        <x:v>Geral (total bruto)</x:v>
      </x:c>
      <x:c r="F16" s="66" t="n">
        <x:v>50</x:v>
      </x:c>
      <x:c r="G16" s="66" t="n">
        <x:v>14</x:v>
      </x:c>
      <x:c r="H16" s="67" t="n">
        <x:f>G16/F16</x:f>
        <x:v>0.28</x:v>
      </x:c>
      <x:c r="I16" s="68" t="n">
        <x:f>'Premissas'!$B$12</x:f>
        <x:v>0</x:v>
      </x:c>
      <x:c r="J16" s="68" t="n">
        <x:f>'Premissas'!$G$12</x:f>
        <x:v>1</x:v>
      </x:c>
      <x:c r="K16" s="69" t="n">
        <x:f>ROUND(MAX('Premissas'!$B$5,L16-N16),1)</x:f>
        <x:v>284.1</x:v>
      </x:c>
      <x:c r="L16" s="69" t="n">
        <x:f>ROUND(MAX('Premissas'!$B$5,MIN('Premissas'!$B$6,'Premissas'!$B$5+('Premissas'!$B$6-'Premissas'!$B$5)*(3*H16^2-2*H16^3)+I16*4*H16*(1-H16))),1)</x:f>
        <x:v>314.8</x:v>
      </x:c>
      <x:c r="M16" s="69" t="n">
        <x:f>ROUND(MIN('Premissas'!$B$6,L16+N16),1)</x:f>
        <x:v>345.5</x:v>
      </x:c>
      <x:c r="N16" s="69" t="n">
        <x:f>ROUND('Premissas'!$B$7*J16*SQRT(10/F16)*4*H16*(1-H16),1)</x:f>
        <x:v>30.7</x:v>
      </x:c>
      <x:c r="O16" s="66" t="str">
        <x:v>PROVISÓRIA</x:v>
      </x:c>
    </x:row>
    <x:row r="17">
      <x:c r="A17" s="56" t="str">
        <x:v>Escala 6º ano</x:v>
      </x:c>
      <x:c r="B17" s="56" t="str">
        <x:v>6º ano</x:v>
      </x:c>
      <x:c r="C17" s="56" t="str">
        <x:v>MODELO_6_ANO</x:v>
      </x:c>
      <x:c r="D17" s="56" t="str">
        <x:v>GERAL</x:v>
      </x:c>
      <x:c r="E17" s="56" t="str">
        <x:v>Geral (total bruto)</x:v>
      </x:c>
      <x:c r="F17" s="56" t="n">
        <x:v>50</x:v>
      </x:c>
      <x:c r="G17" s="56" t="n">
        <x:v>15</x:v>
      </x:c>
      <x:c r="H17" s="70" t="n">
        <x:f>G17/F17</x:f>
        <x:v>0.3</x:v>
      </x:c>
      <x:c r="I17" s="59" t="n">
        <x:f>'Premissas'!$B$12</x:f>
        <x:v>0</x:v>
      </x:c>
      <x:c r="J17" s="59" t="n">
        <x:f>'Premissas'!$G$12</x:f>
        <x:v>1</x:v>
      </x:c>
      <x:c r="K17" s="57" t="n">
        <x:f>ROUND(MAX('Premissas'!$B$5,L17-N17),1)</x:f>
        <x:v>297.7</x:v>
      </x:c>
      <x:c r="L17" s="57" t="n">
        <x:f>ROUND(MAX('Premissas'!$B$5,MIN('Premissas'!$B$6,'Premissas'!$B$5+('Premissas'!$B$6-'Premissas'!$B$5)*(3*H17^2-2*H17^3)+I17*4*H17*(1-H17))),1)</x:f>
        <x:v>329.6</x:v>
      </x:c>
      <x:c r="M17" s="57" t="n">
        <x:f>ROUND(MIN('Premissas'!$B$6,L17+N17),1)</x:f>
        <x:v>361.5</x:v>
      </x:c>
      <x:c r="N17" s="57" t="n">
        <x:f>ROUND('Premissas'!$B$7*J17*SQRT(10/F17)*4*H17*(1-H17),1)</x:f>
        <x:v>31.9</x:v>
      </x:c>
      <x:c r="O17" s="56" t="str">
        <x:v>PROVISÓRIA</x:v>
      </x:c>
    </x:row>
    <x:row r="18">
      <x:c r="A18" s="66" t="str">
        <x:v>Escala 6º ano</x:v>
      </x:c>
      <x:c r="B18" s="66" t="str">
        <x:v>6º ano</x:v>
      </x:c>
      <x:c r="C18" s="66" t="str">
        <x:v>MODELO_6_ANO</x:v>
      </x:c>
      <x:c r="D18" s="66" t="str">
        <x:v>GERAL</x:v>
      </x:c>
      <x:c r="E18" s="66" t="str">
        <x:v>Geral (total bruto)</x:v>
      </x:c>
      <x:c r="F18" s="66" t="n">
        <x:v>50</x:v>
      </x:c>
      <x:c r="G18" s="66" t="n">
        <x:v>16</x:v>
      </x:c>
      <x:c r="H18" s="67" t="n">
        <x:f>G18/F18</x:f>
        <x:v>0.32</x:v>
      </x:c>
      <x:c r="I18" s="68" t="n">
        <x:f>'Premissas'!$B$12</x:f>
        <x:v>0</x:v>
      </x:c>
      <x:c r="J18" s="68" t="n">
        <x:f>'Premissas'!$G$12</x:f>
        <x:v>1</x:v>
      </x:c>
      <x:c r="K18" s="69" t="n">
        <x:f>ROUND(MAX('Premissas'!$B$5,L18-N18),1)</x:f>
        <x:v>311.9</x:v>
      </x:c>
      <x:c r="L18" s="69" t="n">
        <x:f>ROUND(MAX('Premissas'!$B$5,MIN('Premissas'!$B$6,'Premissas'!$B$5+('Premissas'!$B$6-'Premissas'!$B$5)*(3*H18^2-2*H18^3)+I18*4*H18*(1-H18))),1)</x:f>
        <x:v>345</x:v>
      </x:c>
      <x:c r="M18" s="69" t="n">
        <x:f>ROUND(MIN('Premissas'!$B$6,L18+N18),1)</x:f>
        <x:v>378.1</x:v>
      </x:c>
      <x:c r="N18" s="69" t="n">
        <x:f>ROUND('Premissas'!$B$7*J18*SQRT(10/F18)*4*H18*(1-H18),1)</x:f>
        <x:v>33.1</x:v>
      </x:c>
      <x:c r="O18" s="66" t="str">
        <x:v>PROVISÓRIA</x:v>
      </x:c>
    </x:row>
    <x:row r="19">
      <x:c r="A19" s="56" t="str">
        <x:v>Escala 6º ano</x:v>
      </x:c>
      <x:c r="B19" s="56" t="str">
        <x:v>6º ano</x:v>
      </x:c>
      <x:c r="C19" s="56" t="str">
        <x:v>MODELO_6_ANO</x:v>
      </x:c>
      <x:c r="D19" s="56" t="str">
        <x:v>GERAL</x:v>
      </x:c>
      <x:c r="E19" s="56" t="str">
        <x:v>Geral (total bruto)</x:v>
      </x:c>
      <x:c r="F19" s="56" t="n">
        <x:v>50</x:v>
      </x:c>
      <x:c r="G19" s="56" t="n">
        <x:v>17</x:v>
      </x:c>
      <x:c r="H19" s="70" t="n">
        <x:f>G19/F19</x:f>
        <x:v>0.34</x:v>
      </x:c>
      <x:c r="I19" s="59" t="n">
        <x:f>'Premissas'!$B$12</x:f>
        <x:v>0</x:v>
      </x:c>
      <x:c r="J19" s="59" t="n">
        <x:f>'Premissas'!$G$12</x:f>
        <x:v>1</x:v>
      </x:c>
      <x:c r="K19" s="57" t="n">
        <x:f>ROUND(MAX('Premissas'!$B$5,L19-N19),1)</x:f>
        <x:v>326.8</x:v>
      </x:c>
      <x:c r="L19" s="57" t="n">
        <x:f>ROUND(MAX('Premissas'!$B$5,MIN('Premissas'!$B$6,'Premissas'!$B$5+('Premissas'!$B$6-'Premissas'!$B$5)*(3*H19^2-2*H19^3)+I19*4*H19*(1-H19))),1)</x:f>
        <x:v>360.9</x:v>
      </x:c>
      <x:c r="M19" s="57" t="n">
        <x:f>ROUND(MIN('Premissas'!$B$6,L19+N19),1)</x:f>
        <x:v>395</x:v>
      </x:c>
      <x:c r="N19" s="57" t="n">
        <x:f>ROUND('Premissas'!$B$7*J19*SQRT(10/F19)*4*H19*(1-H19),1)</x:f>
        <x:v>34.1</x:v>
      </x:c>
      <x:c r="O19" s="56" t="str">
        <x:v>PROVISÓRIA</x:v>
      </x:c>
    </x:row>
    <x:row r="20">
      <x:c r="A20" s="66" t="str">
        <x:v>Escala 6º ano</x:v>
      </x:c>
      <x:c r="B20" s="66" t="str">
        <x:v>6º ano</x:v>
      </x:c>
      <x:c r="C20" s="66" t="str">
        <x:v>MODELO_6_ANO</x:v>
      </x:c>
      <x:c r="D20" s="66" t="str">
        <x:v>GERAL</x:v>
      </x:c>
      <x:c r="E20" s="66" t="str">
        <x:v>Geral (total bruto)</x:v>
      </x:c>
      <x:c r="F20" s="66" t="n">
        <x:v>50</x:v>
      </x:c>
      <x:c r="G20" s="66" t="n">
        <x:v>18</x:v>
      </x:c>
      <x:c r="H20" s="67" t="n">
        <x:f>G20/F20</x:f>
        <x:v>0.36</x:v>
      </x:c>
      <x:c r="I20" s="68" t="n">
        <x:f>'Premissas'!$B$12</x:f>
        <x:v>0</x:v>
      </x:c>
      <x:c r="J20" s="68" t="n">
        <x:f>'Premissas'!$G$12</x:f>
        <x:v>1</x:v>
      </x:c>
      <x:c r="K20" s="69" t="n">
        <x:f>ROUND(MAX('Premissas'!$B$5,L20-N20),1)</x:f>
        <x:v>342.3</x:v>
      </x:c>
      <x:c r="L20" s="69" t="n">
        <x:f>ROUND(MAX('Premissas'!$B$5,MIN('Premissas'!$B$6,'Premissas'!$B$5+('Premissas'!$B$6-'Premissas'!$B$5)*(3*H20^2-2*H20^3)+I20*4*H20*(1-H20))),1)</x:f>
        <x:v>377.3</x:v>
      </x:c>
      <x:c r="M20" s="69" t="n">
        <x:f>ROUND(MIN('Premissas'!$B$6,L20+N20),1)</x:f>
        <x:v>412.3</x:v>
      </x:c>
      <x:c r="N20" s="69" t="n">
        <x:f>ROUND('Premissas'!$B$7*J20*SQRT(10/F20)*4*H20*(1-H20),1)</x:f>
        <x:v>35</x:v>
      </x:c>
      <x:c r="O20" s="66" t="str">
        <x:v>PROVISÓRIA</x:v>
      </x:c>
    </x:row>
    <x:row r="21">
      <x:c r="A21" s="56" t="str">
        <x:v>Escala 6º ano</x:v>
      </x:c>
      <x:c r="B21" s="56" t="str">
        <x:v>6º ano</x:v>
      </x:c>
      <x:c r="C21" s="56" t="str">
        <x:v>MODELO_6_ANO</x:v>
      </x:c>
      <x:c r="D21" s="56" t="str">
        <x:v>GERAL</x:v>
      </x:c>
      <x:c r="E21" s="56" t="str">
        <x:v>Geral (total bruto)</x:v>
      </x:c>
      <x:c r="F21" s="56" t="n">
        <x:v>50</x:v>
      </x:c>
      <x:c r="G21" s="56" t="n">
        <x:v>19</x:v>
      </x:c>
      <x:c r="H21" s="70" t="n">
        <x:f>G21/F21</x:f>
        <x:v>0.38</x:v>
      </x:c>
      <x:c r="I21" s="59" t="n">
        <x:f>'Premissas'!$B$12</x:f>
        <x:v>0</x:v>
      </x:c>
      <x:c r="J21" s="59" t="n">
        <x:f>'Premissas'!$G$12</x:f>
        <x:v>1</x:v>
      </x:c>
      <x:c r="K21" s="57" t="n">
        <x:f>ROUND(MAX('Premissas'!$B$5,L21-N21),1)</x:f>
        <x:v>358.3</x:v>
      </x:c>
      <x:c r="L21" s="57" t="n">
        <x:f>ROUND(MAX('Premissas'!$B$5,MIN('Premissas'!$B$6,'Premissas'!$B$5+('Premissas'!$B$6-'Premissas'!$B$5)*(3*H21^2-2*H21^3)+I21*4*H21*(1-H21))),1)</x:f>
        <x:v>394.1</x:v>
      </x:c>
      <x:c r="M21" s="57" t="n">
        <x:f>ROUND(MIN('Premissas'!$B$6,L21+N21),1)</x:f>
        <x:v>429.9</x:v>
      </x:c>
      <x:c r="N21" s="57" t="n">
        <x:f>ROUND('Premissas'!$B$7*J21*SQRT(10/F21)*4*H21*(1-H21),1)</x:f>
        <x:v>35.8</x:v>
      </x:c>
      <x:c r="O21" s="56" t="str">
        <x:v>PROVISÓRIA</x:v>
      </x:c>
    </x:row>
    <x:row r="22">
      <x:c r="A22" s="66" t="str">
        <x:v>Escala 6º ano</x:v>
      </x:c>
      <x:c r="B22" s="66" t="str">
        <x:v>6º ano</x:v>
      </x:c>
      <x:c r="C22" s="66" t="str">
        <x:v>MODELO_6_ANO</x:v>
      </x:c>
      <x:c r="D22" s="66" t="str">
        <x:v>GERAL</x:v>
      </x:c>
      <x:c r="E22" s="66" t="str">
        <x:v>Geral (total bruto)</x:v>
      </x:c>
      <x:c r="F22" s="66" t="n">
        <x:v>50</x:v>
      </x:c>
      <x:c r="G22" s="66" t="n">
        <x:v>20</x:v>
      </x:c>
      <x:c r="H22" s="67" t="n">
        <x:f>G22/F22</x:f>
        <x:v>0.4</x:v>
      </x:c>
      <x:c r="I22" s="68" t="n">
        <x:f>'Premissas'!$B$12</x:f>
        <x:v>0</x:v>
      </x:c>
      <x:c r="J22" s="68" t="n">
        <x:f>'Premissas'!$G$12</x:f>
        <x:v>1</x:v>
      </x:c>
      <x:c r="K22" s="69" t="n">
        <x:f>ROUND(MAX('Premissas'!$B$5,L22-N22),1)</x:f>
        <x:v>374.7</x:v>
      </x:c>
      <x:c r="L22" s="69" t="n">
        <x:f>ROUND(MAX('Premissas'!$B$5,MIN('Premissas'!$B$6,'Premissas'!$B$5+('Premissas'!$B$6-'Premissas'!$B$5)*(3*H22^2-2*H22^3)+I22*4*H22*(1-H22))),1)</x:f>
        <x:v>411.2</x:v>
      </x:c>
      <x:c r="M22" s="69" t="n">
        <x:f>ROUND(MIN('Premissas'!$B$6,L22+N22),1)</x:f>
        <x:v>447.7</x:v>
      </x:c>
      <x:c r="N22" s="69" t="n">
        <x:f>ROUND('Premissas'!$B$7*J22*SQRT(10/F22)*4*H22*(1-H22),1)</x:f>
        <x:v>36.5</x:v>
      </x:c>
      <x:c r="O22" s="66" t="str">
        <x:v>PROVISÓRIA</x:v>
      </x:c>
    </x:row>
    <x:row r="23">
      <x:c r="A23" s="56" t="str">
        <x:v>Escala 6º ano</x:v>
      </x:c>
      <x:c r="B23" s="56" t="str">
        <x:v>6º ano</x:v>
      </x:c>
      <x:c r="C23" s="56" t="str">
        <x:v>MODELO_6_ANO</x:v>
      </x:c>
      <x:c r="D23" s="56" t="str">
        <x:v>GERAL</x:v>
      </x:c>
      <x:c r="E23" s="56" t="str">
        <x:v>Geral (total bruto)</x:v>
      </x:c>
      <x:c r="F23" s="56" t="n">
        <x:v>50</x:v>
      </x:c>
      <x:c r="G23" s="56" t="n">
        <x:v>21</x:v>
      </x:c>
      <x:c r="H23" s="70" t="n">
        <x:f>G23/F23</x:f>
        <x:v>0.42</x:v>
      </x:c>
      <x:c r="I23" s="59" t="n">
        <x:f>'Premissas'!$B$12</x:f>
        <x:v>0</x:v>
      </x:c>
      <x:c r="J23" s="59" t="n">
        <x:f>'Premissas'!$G$12</x:f>
        <x:v>1</x:v>
      </x:c>
      <x:c r="K23" s="57" t="n">
        <x:f>ROUND(MAX('Premissas'!$B$5,L23-N23),1)</x:f>
        <x:v>391.6</x:v>
      </x:c>
      <x:c r="L23" s="57" t="n">
        <x:f>ROUND(MAX('Premissas'!$B$5,MIN('Premissas'!$B$6,'Premissas'!$B$5+('Premissas'!$B$6-'Premissas'!$B$5)*(3*H23^2-2*H23^3)+I23*4*H23*(1-H23))),1)</x:f>
        <x:v>428.6</x:v>
      </x:c>
      <x:c r="M23" s="57" t="n">
        <x:f>ROUND(MIN('Premissas'!$B$6,L23+N23),1)</x:f>
        <x:v>465.6</x:v>
      </x:c>
      <x:c r="N23" s="57" t="n">
        <x:f>ROUND('Premissas'!$B$7*J23*SQRT(10/F23)*4*H23*(1-H23),1)</x:f>
        <x:v>37</x:v>
      </x:c>
      <x:c r="O23" s="56" t="str">
        <x:v>PROVISÓRIA</x:v>
      </x:c>
    </x:row>
    <x:row r="24">
      <x:c r="A24" s="66" t="str">
        <x:v>Escala 6º ano</x:v>
      </x:c>
      <x:c r="B24" s="66" t="str">
        <x:v>6º ano</x:v>
      </x:c>
      <x:c r="C24" s="66" t="str">
        <x:v>MODELO_6_ANO</x:v>
      </x:c>
      <x:c r="D24" s="66" t="str">
        <x:v>GERAL</x:v>
      </x:c>
      <x:c r="E24" s="66" t="str">
        <x:v>Geral (total bruto)</x:v>
      </x:c>
      <x:c r="F24" s="66" t="n">
        <x:v>50</x:v>
      </x:c>
      <x:c r="G24" s="66" t="n">
        <x:v>22</x:v>
      </x:c>
      <x:c r="H24" s="67" t="n">
        <x:f>G24/F24</x:f>
        <x:v>0.44</x:v>
      </x:c>
      <x:c r="I24" s="68" t="n">
        <x:f>'Premissas'!$B$12</x:f>
        <x:v>0</x:v>
      </x:c>
      <x:c r="J24" s="68" t="n">
        <x:f>'Premissas'!$G$12</x:f>
        <x:v>1</x:v>
      </x:c>
      <x:c r="K24" s="69" t="n">
        <x:f>ROUND(MAX('Premissas'!$B$5,L24-N24),1)</x:f>
        <x:v>408.8</x:v>
      </x:c>
      <x:c r="L24" s="69" t="n">
        <x:f>ROUND(MAX('Premissas'!$B$5,MIN('Premissas'!$B$6,'Premissas'!$B$5+('Premissas'!$B$6-'Premissas'!$B$5)*(3*H24^2-2*H24^3)+I24*4*H24*(1-H24))),1)</x:f>
        <x:v>446.3</x:v>
      </x:c>
      <x:c r="M24" s="69" t="n">
        <x:f>ROUND(MIN('Premissas'!$B$6,L24+N24),1)</x:f>
        <x:v>483.8</x:v>
      </x:c>
      <x:c r="N24" s="69" t="n">
        <x:f>ROUND('Premissas'!$B$7*J24*SQRT(10/F24)*4*H24*(1-H24),1)</x:f>
        <x:v>37.5</x:v>
      </x:c>
      <x:c r="O24" s="66" t="str">
        <x:v>PROVISÓRIA</x:v>
      </x:c>
    </x:row>
    <x:row r="25">
      <x:c r="A25" s="56" t="str">
        <x:v>Escala 6º ano</x:v>
      </x:c>
      <x:c r="B25" s="56" t="str">
        <x:v>6º ano</x:v>
      </x:c>
      <x:c r="C25" s="56" t="str">
        <x:v>MODELO_6_ANO</x:v>
      </x:c>
      <x:c r="D25" s="56" t="str">
        <x:v>GERAL</x:v>
      </x:c>
      <x:c r="E25" s="56" t="str">
        <x:v>Geral (total bruto)</x:v>
      </x:c>
      <x:c r="F25" s="56" t="n">
        <x:v>50</x:v>
      </x:c>
      <x:c r="G25" s="56" t="n">
        <x:v>23</x:v>
      </x:c>
      <x:c r="H25" s="70" t="n">
        <x:f>G25/F25</x:f>
        <x:v>0.46</x:v>
      </x:c>
      <x:c r="I25" s="59" t="n">
        <x:f>'Premissas'!$B$12</x:f>
        <x:v>0</x:v>
      </x:c>
      <x:c r="J25" s="59" t="n">
        <x:f>'Premissas'!$G$12</x:f>
        <x:v>1</x:v>
      </x:c>
      <x:c r="K25" s="57" t="n">
        <x:f>ROUND(MAX('Premissas'!$B$5,L25-N25),1)</x:f>
        <x:v>426.3</x:v>
      </x:c>
      <x:c r="L25" s="57" t="n">
        <x:f>ROUND(MAX('Premissas'!$B$5,MIN('Premissas'!$B$6,'Premissas'!$B$5+('Premissas'!$B$6-'Premissas'!$B$5)*(3*H25^2-2*H25^3)+I25*4*H25*(1-H25))),1)</x:f>
        <x:v>464.1</x:v>
      </x:c>
      <x:c r="M25" s="57" t="n">
        <x:f>ROUND(MIN('Premissas'!$B$6,L25+N25),1)</x:f>
        <x:v>501.9</x:v>
      </x:c>
      <x:c r="N25" s="57" t="n">
        <x:f>ROUND('Premissas'!$B$7*J25*SQRT(10/F25)*4*H25*(1-H25),1)</x:f>
        <x:v>37.8</x:v>
      </x:c>
      <x:c r="O25" s="56" t="str">
        <x:v>PROVISÓRIA</x:v>
      </x:c>
    </x:row>
    <x:row r="26">
      <x:c r="A26" s="66" t="str">
        <x:v>Escala 6º ano</x:v>
      </x:c>
      <x:c r="B26" s="66" t="str">
        <x:v>6º ano</x:v>
      </x:c>
      <x:c r="C26" s="66" t="str">
        <x:v>MODELO_6_ANO</x:v>
      </x:c>
      <x:c r="D26" s="66" t="str">
        <x:v>GERAL</x:v>
      </x:c>
      <x:c r="E26" s="66" t="str">
        <x:v>Geral (total bruto)</x:v>
      </x:c>
      <x:c r="F26" s="66" t="n">
        <x:v>50</x:v>
      </x:c>
      <x:c r="G26" s="66" t="n">
        <x:v>24</x:v>
      </x:c>
      <x:c r="H26" s="67" t="n">
        <x:f>G26/F26</x:f>
        <x:v>0.48</x:v>
      </x:c>
      <x:c r="I26" s="68" t="n">
        <x:f>'Premissas'!$B$12</x:f>
        <x:v>0</x:v>
      </x:c>
      <x:c r="J26" s="68" t="n">
        <x:f>'Premissas'!$G$12</x:f>
        <x:v>1</x:v>
      </x:c>
      <x:c r="K26" s="69" t="n">
        <x:f>ROUND(MAX('Premissas'!$B$5,L26-N26),1)</x:f>
        <x:v>444</x:v>
      </x:c>
      <x:c r="L26" s="69" t="n">
        <x:f>ROUND(MAX('Premissas'!$B$5,MIN('Premissas'!$B$6,'Premissas'!$B$5+('Premissas'!$B$6-'Premissas'!$B$5)*(3*H26^2-2*H26^3)+I26*4*H26*(1-H26))),1)</x:f>
        <x:v>482</x:v>
      </x:c>
      <x:c r="M26" s="69" t="n">
        <x:f>ROUND(MIN('Premissas'!$B$6,L26+N26),1)</x:f>
        <x:v>520</x:v>
      </x:c>
      <x:c r="N26" s="69" t="n">
        <x:f>ROUND('Premissas'!$B$7*J26*SQRT(10/F26)*4*H26*(1-H26),1)</x:f>
        <x:v>38</x:v>
      </x:c>
      <x:c r="O26" s="66" t="str">
        <x:v>PROVISÓRIA</x:v>
      </x:c>
    </x:row>
    <x:row r="27">
      <x:c r="A27" s="56" t="str">
        <x:v>Escala 6º ano</x:v>
      </x:c>
      <x:c r="B27" s="56" t="str">
        <x:v>6º ano</x:v>
      </x:c>
      <x:c r="C27" s="56" t="str">
        <x:v>MODELO_6_ANO</x:v>
      </x:c>
      <x:c r="D27" s="56" t="str">
        <x:v>GERAL</x:v>
      </x:c>
      <x:c r="E27" s="56" t="str">
        <x:v>Geral (total bruto)</x:v>
      </x:c>
      <x:c r="F27" s="56" t="n">
        <x:v>50</x:v>
      </x:c>
      <x:c r="G27" s="56" t="n">
        <x:v>25</x:v>
      </x:c>
      <x:c r="H27" s="70" t="n">
        <x:f>G27/F27</x:f>
        <x:v>0.5</x:v>
      </x:c>
      <x:c r="I27" s="59" t="n">
        <x:f>'Premissas'!$B$12</x:f>
        <x:v>0</x:v>
      </x:c>
      <x:c r="J27" s="59" t="n">
        <x:f>'Premissas'!$G$12</x:f>
        <x:v>1</x:v>
      </x:c>
      <x:c r="K27" s="57" t="n">
        <x:f>ROUND(MAX('Premissas'!$B$5,L27-N27),1)</x:f>
        <x:v>462</x:v>
      </x:c>
      <x:c r="L27" s="57" t="n">
        <x:f>ROUND(MAX('Premissas'!$B$5,MIN('Premissas'!$B$6,'Premissas'!$B$5+('Premissas'!$B$6-'Premissas'!$B$5)*(3*H27^2-2*H27^3)+I27*4*H27*(1-H27))),1)</x:f>
        <x:v>500</x:v>
      </x:c>
      <x:c r="M27" s="57" t="n">
        <x:f>ROUND(MIN('Premissas'!$B$6,L27+N27),1)</x:f>
        <x:v>538</x:v>
      </x:c>
      <x:c r="N27" s="57" t="n">
        <x:f>ROUND('Premissas'!$B$7*J27*SQRT(10/F27)*4*H27*(1-H27),1)</x:f>
        <x:v>38</x:v>
      </x:c>
      <x:c r="O27" s="56" t="str">
        <x:v>PROVISÓRIA</x:v>
      </x:c>
    </x:row>
    <x:row r="28">
      <x:c r="A28" s="66" t="str">
        <x:v>Escala 6º ano</x:v>
      </x:c>
      <x:c r="B28" s="66" t="str">
        <x:v>6º ano</x:v>
      </x:c>
      <x:c r="C28" s="66" t="str">
        <x:v>MODELO_6_ANO</x:v>
      </x:c>
      <x:c r="D28" s="66" t="str">
        <x:v>GERAL</x:v>
      </x:c>
      <x:c r="E28" s="66" t="str">
        <x:v>Geral (total bruto)</x:v>
      </x:c>
      <x:c r="F28" s="66" t="n">
        <x:v>50</x:v>
      </x:c>
      <x:c r="G28" s="66" t="n">
        <x:v>26</x:v>
      </x:c>
      <x:c r="H28" s="67" t="n">
        <x:f>G28/F28</x:f>
        <x:v>0.52</x:v>
      </x:c>
      <x:c r="I28" s="68" t="n">
        <x:f>'Premissas'!$B$12</x:f>
        <x:v>0</x:v>
      </x:c>
      <x:c r="J28" s="68" t="n">
        <x:f>'Premissas'!$G$12</x:f>
        <x:v>1</x:v>
      </x:c>
      <x:c r="K28" s="69" t="n">
        <x:f>ROUND(MAX('Premissas'!$B$5,L28-N28),1)</x:f>
        <x:v>480</x:v>
      </x:c>
      <x:c r="L28" s="69" t="n">
        <x:f>ROUND(MAX('Premissas'!$B$5,MIN('Premissas'!$B$6,'Premissas'!$B$5+('Premissas'!$B$6-'Premissas'!$B$5)*(3*H28^2-2*H28^3)+I28*4*H28*(1-H28))),1)</x:f>
        <x:v>518</x:v>
      </x:c>
      <x:c r="M28" s="69" t="n">
        <x:f>ROUND(MIN('Premissas'!$B$6,L28+N28),1)</x:f>
        <x:v>556</x:v>
      </x:c>
      <x:c r="N28" s="69" t="n">
        <x:f>ROUND('Premissas'!$B$7*J28*SQRT(10/F28)*4*H28*(1-H28),1)</x:f>
        <x:v>38</x:v>
      </x:c>
      <x:c r="O28" s="66" t="str">
        <x:v>PROVISÓRIA</x:v>
      </x:c>
    </x:row>
    <x:row r="29">
      <x:c r="A29" s="56" t="str">
        <x:v>Escala 6º ano</x:v>
      </x:c>
      <x:c r="B29" s="56" t="str">
        <x:v>6º ano</x:v>
      </x:c>
      <x:c r="C29" s="56" t="str">
        <x:v>MODELO_6_ANO</x:v>
      </x:c>
      <x:c r="D29" s="56" t="str">
        <x:v>GERAL</x:v>
      </x:c>
      <x:c r="E29" s="56" t="str">
        <x:v>Geral (total bruto)</x:v>
      </x:c>
      <x:c r="F29" s="56" t="n">
        <x:v>50</x:v>
      </x:c>
      <x:c r="G29" s="56" t="n">
        <x:v>27</x:v>
      </x:c>
      <x:c r="H29" s="70" t="n">
        <x:f>G29/F29</x:f>
        <x:v>0.54</x:v>
      </x:c>
      <x:c r="I29" s="59" t="n">
        <x:f>'Premissas'!$B$12</x:f>
        <x:v>0</x:v>
      </x:c>
      <x:c r="J29" s="59" t="n">
        <x:f>'Premissas'!$G$12</x:f>
        <x:v>1</x:v>
      </x:c>
      <x:c r="K29" s="57" t="n">
        <x:f>ROUND(MAX('Premissas'!$B$5,L29-N29),1)</x:f>
        <x:v>498.1</x:v>
      </x:c>
      <x:c r="L29" s="57" t="n">
        <x:f>ROUND(MAX('Premissas'!$B$5,MIN('Premissas'!$B$6,'Premissas'!$B$5+('Premissas'!$B$6-'Premissas'!$B$5)*(3*H29^2-2*H29^3)+I29*4*H29*(1-H29))),1)</x:f>
        <x:v>535.9</x:v>
      </x:c>
      <x:c r="M29" s="57" t="n">
        <x:f>ROUND(MIN('Premissas'!$B$6,L29+N29),1)</x:f>
        <x:v>573.7</x:v>
      </x:c>
      <x:c r="N29" s="57" t="n">
        <x:f>ROUND('Premissas'!$B$7*J29*SQRT(10/F29)*4*H29*(1-H29),1)</x:f>
        <x:v>37.8</x:v>
      </x:c>
      <x:c r="O29" s="56" t="str">
        <x:v>PROVISÓRIA</x:v>
      </x:c>
    </x:row>
    <x:row r="30">
      <x:c r="A30" s="66" t="str">
        <x:v>Escala 6º ano</x:v>
      </x:c>
      <x:c r="B30" s="66" t="str">
        <x:v>6º ano</x:v>
      </x:c>
      <x:c r="C30" s="66" t="str">
        <x:v>MODELO_6_ANO</x:v>
      </x:c>
      <x:c r="D30" s="66" t="str">
        <x:v>GERAL</x:v>
      </x:c>
      <x:c r="E30" s="66" t="str">
        <x:v>Geral (total bruto)</x:v>
      </x:c>
      <x:c r="F30" s="66" t="n">
        <x:v>50</x:v>
      </x:c>
      <x:c r="G30" s="66" t="n">
        <x:v>28</x:v>
      </x:c>
      <x:c r="H30" s="67" t="n">
        <x:f>G30/F30</x:f>
        <x:v>0.56</x:v>
      </x:c>
      <x:c r="I30" s="68" t="n">
        <x:f>'Premissas'!$B$12</x:f>
        <x:v>0</x:v>
      </x:c>
      <x:c r="J30" s="68" t="n">
        <x:f>'Premissas'!$G$12</x:f>
        <x:v>1</x:v>
      </x:c>
      <x:c r="K30" s="69" t="n">
        <x:f>ROUND(MAX('Premissas'!$B$5,L30-N30),1)</x:f>
        <x:v>516.2</x:v>
      </x:c>
      <x:c r="L30" s="69" t="n">
        <x:f>ROUND(MAX('Premissas'!$B$5,MIN('Premissas'!$B$6,'Premissas'!$B$5+('Premissas'!$B$6-'Premissas'!$B$5)*(3*H30^2-2*H30^3)+I30*4*H30*(1-H30))),1)</x:f>
        <x:v>553.7</x:v>
      </x:c>
      <x:c r="M30" s="69" t="n">
        <x:f>ROUND(MIN('Premissas'!$B$6,L30+N30),1)</x:f>
        <x:v>591.2</x:v>
      </x:c>
      <x:c r="N30" s="69" t="n">
        <x:f>ROUND('Premissas'!$B$7*J30*SQRT(10/F30)*4*H30*(1-H30),1)</x:f>
        <x:v>37.5</x:v>
      </x:c>
      <x:c r="O30" s="66" t="str">
        <x:v>PROVISÓRIA</x:v>
      </x:c>
    </x:row>
    <x:row r="31">
      <x:c r="A31" s="56" t="str">
        <x:v>Escala 6º ano</x:v>
      </x:c>
      <x:c r="B31" s="56" t="str">
        <x:v>6º ano</x:v>
      </x:c>
      <x:c r="C31" s="56" t="str">
        <x:v>MODELO_6_ANO</x:v>
      </x:c>
      <x:c r="D31" s="56" t="str">
        <x:v>GERAL</x:v>
      </x:c>
      <x:c r="E31" s="56" t="str">
        <x:v>Geral (total bruto)</x:v>
      </x:c>
      <x:c r="F31" s="56" t="n">
        <x:v>50</x:v>
      </x:c>
      <x:c r="G31" s="56" t="n">
        <x:v>29</x:v>
      </x:c>
      <x:c r="H31" s="70" t="n">
        <x:f>G31/F31</x:f>
        <x:v>0.58</x:v>
      </x:c>
      <x:c r="I31" s="59" t="n">
        <x:f>'Premissas'!$B$12</x:f>
        <x:v>0</x:v>
      </x:c>
      <x:c r="J31" s="59" t="n">
        <x:f>'Premissas'!$G$12</x:f>
        <x:v>1</x:v>
      </x:c>
      <x:c r="K31" s="57" t="n">
        <x:f>ROUND(MAX('Premissas'!$B$5,L31-N31),1)</x:f>
        <x:v>534.4</x:v>
      </x:c>
      <x:c r="L31" s="57" t="n">
        <x:f>ROUND(MAX('Premissas'!$B$5,MIN('Premissas'!$B$6,'Premissas'!$B$5+('Premissas'!$B$6-'Premissas'!$B$5)*(3*H31^2-2*H31^3)+I31*4*H31*(1-H31))),1)</x:f>
        <x:v>571.4</x:v>
      </x:c>
      <x:c r="M31" s="57" t="n">
        <x:f>ROUND(MIN('Premissas'!$B$6,L31+N31),1)</x:f>
        <x:v>608.4</x:v>
      </x:c>
      <x:c r="N31" s="57" t="n">
        <x:f>ROUND('Premissas'!$B$7*J31*SQRT(10/F31)*4*H31*(1-H31),1)</x:f>
        <x:v>37</x:v>
      </x:c>
      <x:c r="O31" s="56" t="str">
        <x:v>PROVISÓRIA</x:v>
      </x:c>
    </x:row>
    <x:row r="32">
      <x:c r="A32" s="66" t="str">
        <x:v>Escala 6º ano</x:v>
      </x:c>
      <x:c r="B32" s="66" t="str">
        <x:v>6º ano</x:v>
      </x:c>
      <x:c r="C32" s="66" t="str">
        <x:v>MODELO_6_ANO</x:v>
      </x:c>
      <x:c r="D32" s="66" t="str">
        <x:v>GERAL</x:v>
      </x:c>
      <x:c r="E32" s="66" t="str">
        <x:v>Geral (total bruto)</x:v>
      </x:c>
      <x:c r="F32" s="66" t="n">
        <x:v>50</x:v>
      </x:c>
      <x:c r="G32" s="66" t="n">
        <x:v>30</x:v>
      </x:c>
      <x:c r="H32" s="67" t="n">
        <x:f>G32/F32</x:f>
        <x:v>0.6</x:v>
      </x:c>
      <x:c r="I32" s="68" t="n">
        <x:f>'Premissas'!$B$12</x:f>
        <x:v>0</x:v>
      </x:c>
      <x:c r="J32" s="68" t="n">
        <x:f>'Premissas'!$G$12</x:f>
        <x:v>1</x:v>
      </x:c>
      <x:c r="K32" s="69" t="n">
        <x:f>ROUND(MAX('Premissas'!$B$5,L32-N32),1)</x:f>
        <x:v>552.3</x:v>
      </x:c>
      <x:c r="L32" s="69" t="n">
        <x:f>ROUND(MAX('Premissas'!$B$5,MIN('Premissas'!$B$6,'Premissas'!$B$5+('Premissas'!$B$6-'Premissas'!$B$5)*(3*H32^2-2*H32^3)+I32*4*H32*(1-H32))),1)</x:f>
        <x:v>588.8</x:v>
      </x:c>
      <x:c r="M32" s="69" t="n">
        <x:f>ROUND(MIN('Premissas'!$B$6,L32+N32),1)</x:f>
        <x:v>625.3</x:v>
      </x:c>
      <x:c r="N32" s="69" t="n">
        <x:f>ROUND('Premissas'!$B$7*J32*SQRT(10/F32)*4*H32*(1-H32),1)</x:f>
        <x:v>36.5</x:v>
      </x:c>
      <x:c r="O32" s="66" t="str">
        <x:v>PROVISÓRIA</x:v>
      </x:c>
    </x:row>
    <x:row r="33">
      <x:c r="A33" s="56" t="str">
        <x:v>Escala 6º ano</x:v>
      </x:c>
      <x:c r="B33" s="56" t="str">
        <x:v>6º ano</x:v>
      </x:c>
      <x:c r="C33" s="56" t="str">
        <x:v>MODELO_6_ANO</x:v>
      </x:c>
      <x:c r="D33" s="56" t="str">
        <x:v>GERAL</x:v>
      </x:c>
      <x:c r="E33" s="56" t="str">
        <x:v>Geral (total bruto)</x:v>
      </x:c>
      <x:c r="F33" s="56" t="n">
        <x:v>50</x:v>
      </x:c>
      <x:c r="G33" s="56" t="n">
        <x:v>31</x:v>
      </x:c>
      <x:c r="H33" s="70" t="n">
        <x:f>G33/F33</x:f>
        <x:v>0.62</x:v>
      </x:c>
      <x:c r="I33" s="59" t="n">
        <x:f>'Premissas'!$B$12</x:f>
        <x:v>0</x:v>
      </x:c>
      <x:c r="J33" s="59" t="n">
        <x:f>'Premissas'!$G$12</x:f>
        <x:v>1</x:v>
      </x:c>
      <x:c r="K33" s="57" t="n">
        <x:f>ROUND(MAX('Premissas'!$B$5,L33-N33),1)</x:f>
        <x:v>570.1</x:v>
      </x:c>
      <x:c r="L33" s="57" t="n">
        <x:f>ROUND(MAX('Premissas'!$B$5,MIN('Premissas'!$B$6,'Premissas'!$B$5+('Premissas'!$B$6-'Premissas'!$B$5)*(3*H33^2-2*H33^3)+I33*4*H33*(1-H33))),1)</x:f>
        <x:v>605.9</x:v>
      </x:c>
      <x:c r="M33" s="57" t="n">
        <x:f>ROUND(MIN('Premissas'!$B$6,L33+N33),1)</x:f>
        <x:v>641.7</x:v>
      </x:c>
      <x:c r="N33" s="57" t="n">
        <x:f>ROUND('Premissas'!$B$7*J33*SQRT(10/F33)*4*H33*(1-H33),1)</x:f>
        <x:v>35.8</x:v>
      </x:c>
      <x:c r="O33" s="56" t="str">
        <x:v>PROVISÓRIA</x:v>
      </x:c>
    </x:row>
    <x:row r="34">
      <x:c r="A34" s="66" t="str">
        <x:v>Escala 6º ano</x:v>
      </x:c>
      <x:c r="B34" s="66" t="str">
        <x:v>6º ano</x:v>
      </x:c>
      <x:c r="C34" s="66" t="str">
        <x:v>MODELO_6_ANO</x:v>
      </x:c>
      <x:c r="D34" s="66" t="str">
        <x:v>GERAL</x:v>
      </x:c>
      <x:c r="E34" s="66" t="str">
        <x:v>Geral (total bruto)</x:v>
      </x:c>
      <x:c r="F34" s="66" t="n">
        <x:v>50</x:v>
      </x:c>
      <x:c r="G34" s="66" t="n">
        <x:v>32</x:v>
      </x:c>
      <x:c r="H34" s="67" t="n">
        <x:f>G34/F34</x:f>
        <x:v>0.64</x:v>
      </x:c>
      <x:c r="I34" s="68" t="n">
        <x:f>'Premissas'!$B$12</x:f>
        <x:v>0</x:v>
      </x:c>
      <x:c r="J34" s="68" t="n">
        <x:f>'Premissas'!$G$12</x:f>
        <x:v>1</x:v>
      </x:c>
      <x:c r="K34" s="69" t="n">
        <x:f>ROUND(MAX('Premissas'!$B$5,L34-N34),1)</x:f>
        <x:v>587.7</x:v>
      </x:c>
      <x:c r="L34" s="69" t="n">
        <x:f>ROUND(MAX('Premissas'!$B$5,MIN('Premissas'!$B$6,'Premissas'!$B$5+('Premissas'!$B$6-'Premissas'!$B$5)*(3*H34^2-2*H34^3)+I34*4*H34*(1-H34))),1)</x:f>
        <x:v>622.7</x:v>
      </x:c>
      <x:c r="M34" s="69" t="n">
        <x:f>ROUND(MIN('Premissas'!$B$6,L34+N34),1)</x:f>
        <x:v>657.7</x:v>
      </x:c>
      <x:c r="N34" s="69" t="n">
        <x:f>ROUND('Premissas'!$B$7*J34*SQRT(10/F34)*4*H34*(1-H34),1)</x:f>
        <x:v>35</x:v>
      </x:c>
      <x:c r="O34" s="66" t="str">
        <x:v>PROVISÓRIA</x:v>
      </x:c>
    </x:row>
    <x:row r="35">
      <x:c r="A35" s="56" t="str">
        <x:v>Escala 6º ano</x:v>
      </x:c>
      <x:c r="B35" s="56" t="str">
        <x:v>6º ano</x:v>
      </x:c>
      <x:c r="C35" s="56" t="str">
        <x:v>MODELO_6_ANO</x:v>
      </x:c>
      <x:c r="D35" s="56" t="str">
        <x:v>GERAL</x:v>
      </x:c>
      <x:c r="E35" s="56" t="str">
        <x:v>Geral (total bruto)</x:v>
      </x:c>
      <x:c r="F35" s="56" t="n">
        <x:v>50</x:v>
      </x:c>
      <x:c r="G35" s="56" t="n">
        <x:v>33</x:v>
      </x:c>
      <x:c r="H35" s="70" t="n">
        <x:f>G35/F35</x:f>
        <x:v>0.66</x:v>
      </x:c>
      <x:c r="I35" s="59" t="n">
        <x:f>'Premissas'!$B$12</x:f>
        <x:v>0</x:v>
      </x:c>
      <x:c r="J35" s="59" t="n">
        <x:f>'Premissas'!$G$12</x:f>
        <x:v>1</x:v>
      </x:c>
      <x:c r="K35" s="57" t="n">
        <x:f>ROUND(MAX('Premissas'!$B$5,L35-N35),1)</x:f>
        <x:v>605</x:v>
      </x:c>
      <x:c r="L35" s="57" t="n">
        <x:f>ROUND(MAX('Premissas'!$B$5,MIN('Premissas'!$B$6,'Premissas'!$B$5+('Premissas'!$B$6-'Premissas'!$B$5)*(3*H35^2-2*H35^3)+I35*4*H35*(1-H35))),1)</x:f>
        <x:v>639.1</x:v>
      </x:c>
      <x:c r="M35" s="57" t="n">
        <x:f>ROUND(MIN('Premissas'!$B$6,L35+N35),1)</x:f>
        <x:v>673.2</x:v>
      </x:c>
      <x:c r="N35" s="57" t="n">
        <x:f>ROUND('Premissas'!$B$7*J35*SQRT(10/F35)*4*H35*(1-H35),1)</x:f>
        <x:v>34.1</x:v>
      </x:c>
      <x:c r="O35" s="56" t="str">
        <x:v>PROVISÓRIA</x:v>
      </x:c>
    </x:row>
    <x:row r="36">
      <x:c r="A36" s="66" t="str">
        <x:v>Escala 6º ano</x:v>
      </x:c>
      <x:c r="B36" s="66" t="str">
        <x:v>6º ano</x:v>
      </x:c>
      <x:c r="C36" s="66" t="str">
        <x:v>MODELO_6_ANO</x:v>
      </x:c>
      <x:c r="D36" s="66" t="str">
        <x:v>GERAL</x:v>
      </x:c>
      <x:c r="E36" s="66" t="str">
        <x:v>Geral (total bruto)</x:v>
      </x:c>
      <x:c r="F36" s="66" t="n">
        <x:v>50</x:v>
      </x:c>
      <x:c r="G36" s="66" t="n">
        <x:v>34</x:v>
      </x:c>
      <x:c r="H36" s="67" t="n">
        <x:f>G36/F36</x:f>
        <x:v>0.68</x:v>
      </x:c>
      <x:c r="I36" s="68" t="n">
        <x:f>'Premissas'!$B$12</x:f>
        <x:v>0</x:v>
      </x:c>
      <x:c r="J36" s="68" t="n">
        <x:f>'Premissas'!$G$12</x:f>
        <x:v>1</x:v>
      </x:c>
      <x:c r="K36" s="69" t="n">
        <x:f>ROUND(MAX('Premissas'!$B$5,L36-N36),1)</x:f>
        <x:v>621.9</x:v>
      </x:c>
      <x:c r="L36" s="69" t="n">
        <x:f>ROUND(MAX('Premissas'!$B$5,MIN('Premissas'!$B$6,'Premissas'!$B$5+('Premissas'!$B$6-'Premissas'!$B$5)*(3*H36^2-2*H36^3)+I36*4*H36*(1-H36))),1)</x:f>
        <x:v>655</x:v>
      </x:c>
      <x:c r="M36" s="69" t="n">
        <x:f>ROUND(MIN('Premissas'!$B$6,L36+N36),1)</x:f>
        <x:v>688.1</x:v>
      </x:c>
      <x:c r="N36" s="69" t="n">
        <x:f>ROUND('Premissas'!$B$7*J36*SQRT(10/F36)*4*H36*(1-H36),1)</x:f>
        <x:v>33.1</x:v>
      </x:c>
      <x:c r="O36" s="66" t="str">
        <x:v>PROVISÓRIA</x:v>
      </x:c>
    </x:row>
    <x:row r="37">
      <x:c r="A37" s="56" t="str">
        <x:v>Escala 6º ano</x:v>
      </x:c>
      <x:c r="B37" s="56" t="str">
        <x:v>6º ano</x:v>
      </x:c>
      <x:c r="C37" s="56" t="str">
        <x:v>MODELO_6_ANO</x:v>
      </x:c>
      <x:c r="D37" s="56" t="str">
        <x:v>GERAL</x:v>
      </x:c>
      <x:c r="E37" s="56" t="str">
        <x:v>Geral (total bruto)</x:v>
      </x:c>
      <x:c r="F37" s="56" t="n">
        <x:v>50</x:v>
      </x:c>
      <x:c r="G37" s="56" t="n">
        <x:v>35</x:v>
      </x:c>
      <x:c r="H37" s="70" t="n">
        <x:f>G37/F37</x:f>
        <x:v>0.7</x:v>
      </x:c>
      <x:c r="I37" s="59" t="n">
        <x:f>'Premissas'!$B$12</x:f>
        <x:v>0</x:v>
      </x:c>
      <x:c r="J37" s="59" t="n">
        <x:f>'Premissas'!$G$12</x:f>
        <x:v>1</x:v>
      </x:c>
      <x:c r="K37" s="57" t="n">
        <x:f>ROUND(MAX('Premissas'!$B$5,L37-N37),1)</x:f>
        <x:v>638.5</x:v>
      </x:c>
      <x:c r="L37" s="57" t="n">
        <x:f>ROUND(MAX('Premissas'!$B$5,MIN('Premissas'!$B$6,'Premissas'!$B$5+('Premissas'!$B$6-'Premissas'!$B$5)*(3*H37^2-2*H37^3)+I37*4*H37*(1-H37))),1)</x:f>
        <x:v>670.4</x:v>
      </x:c>
      <x:c r="M37" s="57" t="n">
        <x:f>ROUND(MIN('Premissas'!$B$6,L37+N37),1)</x:f>
        <x:v>702.3</x:v>
      </x:c>
      <x:c r="N37" s="57" t="n">
        <x:f>ROUND('Premissas'!$B$7*J37*SQRT(10/F37)*4*H37*(1-H37),1)</x:f>
        <x:v>31.9</x:v>
      </x:c>
      <x:c r="O37" s="56" t="str">
        <x:v>PROVISÓRIA</x:v>
      </x:c>
    </x:row>
    <x:row r="38">
      <x:c r="A38" s="66" t="str">
        <x:v>Escala 6º ano</x:v>
      </x:c>
      <x:c r="B38" s="66" t="str">
        <x:v>6º ano</x:v>
      </x:c>
      <x:c r="C38" s="66" t="str">
        <x:v>MODELO_6_ANO</x:v>
      </x:c>
      <x:c r="D38" s="66" t="str">
        <x:v>GERAL</x:v>
      </x:c>
      <x:c r="E38" s="66" t="str">
        <x:v>Geral (total bruto)</x:v>
      </x:c>
      <x:c r="F38" s="66" t="n">
        <x:v>50</x:v>
      </x:c>
      <x:c r="G38" s="66" t="n">
        <x:v>36</x:v>
      </x:c>
      <x:c r="H38" s="67" t="n">
        <x:f>G38/F38</x:f>
        <x:v>0.72</x:v>
      </x:c>
      <x:c r="I38" s="68" t="n">
        <x:f>'Premissas'!$B$12</x:f>
        <x:v>0</x:v>
      </x:c>
      <x:c r="J38" s="68" t="n">
        <x:f>'Premissas'!$G$12</x:f>
        <x:v>1</x:v>
      </x:c>
      <x:c r="K38" s="69" t="n">
        <x:f>ROUND(MAX('Premissas'!$B$5,L38-N38),1)</x:f>
        <x:v>654.5</x:v>
      </x:c>
      <x:c r="L38" s="69" t="n">
        <x:f>ROUND(MAX('Premissas'!$B$5,MIN('Premissas'!$B$6,'Premissas'!$B$5+('Premissas'!$B$6-'Premissas'!$B$5)*(3*H38^2-2*H38^3)+I38*4*H38*(1-H38))),1)</x:f>
        <x:v>685.2</x:v>
      </x:c>
      <x:c r="M38" s="69" t="n">
        <x:f>ROUND(MIN('Premissas'!$B$6,L38+N38),1)</x:f>
        <x:v>715.9</x:v>
      </x:c>
      <x:c r="N38" s="69" t="n">
        <x:f>ROUND('Premissas'!$B$7*J38*SQRT(10/F38)*4*H38*(1-H38),1)</x:f>
        <x:v>30.7</x:v>
      </x:c>
      <x:c r="O38" s="66" t="str">
        <x:v>PROVISÓRIA</x:v>
      </x:c>
    </x:row>
    <x:row r="39">
      <x:c r="A39" s="56" t="str">
        <x:v>Escala 6º ano</x:v>
      </x:c>
      <x:c r="B39" s="56" t="str">
        <x:v>6º ano</x:v>
      </x:c>
      <x:c r="C39" s="56" t="str">
        <x:v>MODELO_6_ANO</x:v>
      </x:c>
      <x:c r="D39" s="56" t="str">
        <x:v>GERAL</x:v>
      </x:c>
      <x:c r="E39" s="56" t="str">
        <x:v>Geral (total bruto)</x:v>
      </x:c>
      <x:c r="F39" s="56" t="n">
        <x:v>50</x:v>
      </x:c>
      <x:c r="G39" s="56" t="n">
        <x:v>37</x:v>
      </x:c>
      <x:c r="H39" s="70" t="n">
        <x:f>G39/F39</x:f>
        <x:v>0.74</x:v>
      </x:c>
      <x:c r="I39" s="59" t="n">
        <x:f>'Premissas'!$B$12</x:f>
        <x:v>0</x:v>
      </x:c>
      <x:c r="J39" s="59" t="n">
        <x:f>'Premissas'!$G$12</x:f>
        <x:v>1</x:v>
      </x:c>
      <x:c r="K39" s="57" t="n">
        <x:f>ROUND(MAX('Premissas'!$B$5,L39-N39),1)</x:f>
        <x:v>670.1</x:v>
      </x:c>
      <x:c r="L39" s="57" t="n">
        <x:f>ROUND(MAX('Premissas'!$B$5,MIN('Premissas'!$B$6,'Premissas'!$B$5+('Premissas'!$B$6-'Premissas'!$B$5)*(3*H39^2-2*H39^3)+I39*4*H39*(1-H39))),1)</x:f>
        <x:v>699.4</x:v>
      </x:c>
      <x:c r="M39" s="57" t="n">
        <x:f>ROUND(MIN('Premissas'!$B$6,L39+N39),1)</x:f>
        <x:v>728.7</x:v>
      </x:c>
      <x:c r="N39" s="57" t="n">
        <x:f>ROUND('Premissas'!$B$7*J39*SQRT(10/F39)*4*H39*(1-H39),1)</x:f>
        <x:v>29.3</x:v>
      </x:c>
      <x:c r="O39" s="56" t="str">
        <x:v>PROVISÓRIA</x:v>
      </x:c>
    </x:row>
    <x:row r="40">
      <x:c r="A40" s="66" t="str">
        <x:v>Escala 6º ano</x:v>
      </x:c>
      <x:c r="B40" s="66" t="str">
        <x:v>6º ano</x:v>
      </x:c>
      <x:c r="C40" s="66" t="str">
        <x:v>MODELO_6_ANO</x:v>
      </x:c>
      <x:c r="D40" s="66" t="str">
        <x:v>GERAL</x:v>
      </x:c>
      <x:c r="E40" s="66" t="str">
        <x:v>Geral (total bruto)</x:v>
      </x:c>
      <x:c r="F40" s="66" t="n">
        <x:v>50</x:v>
      </x:c>
      <x:c r="G40" s="66" t="n">
        <x:v>38</x:v>
      </x:c>
      <x:c r="H40" s="67" t="n">
        <x:f>G40/F40</x:f>
        <x:v>0.76</x:v>
      </x:c>
      <x:c r="I40" s="68" t="n">
        <x:f>'Premissas'!$B$12</x:f>
        <x:v>0</x:v>
      </x:c>
      <x:c r="J40" s="68" t="n">
        <x:f>'Premissas'!$G$12</x:f>
        <x:v>1</x:v>
      </x:c>
      <x:c r="K40" s="69" t="n">
        <x:f>ROUND(MAX('Premissas'!$B$5,L40-N40),1)</x:f>
        <x:v>685.2</x:v>
      </x:c>
      <x:c r="L40" s="69" t="n">
        <x:f>ROUND(MAX('Premissas'!$B$5,MIN('Premissas'!$B$6,'Premissas'!$B$5+('Premissas'!$B$6-'Premissas'!$B$5)*(3*H40^2-2*H40^3)+I40*4*H40*(1-H40))),1)</x:f>
        <x:v>712.9</x:v>
      </x:c>
      <x:c r="M40" s="69" t="n">
        <x:f>ROUND(MIN('Premissas'!$B$6,L40+N40),1)</x:f>
        <x:v>740.6</x:v>
      </x:c>
      <x:c r="N40" s="69" t="n">
        <x:f>ROUND('Premissas'!$B$7*J40*SQRT(10/F40)*4*H40*(1-H40),1)</x:f>
        <x:v>27.7</x:v>
      </x:c>
      <x:c r="O40" s="66" t="str">
        <x:v>PROVISÓRIA</x:v>
      </x:c>
    </x:row>
    <x:row r="41">
      <x:c r="A41" s="56" t="str">
        <x:v>Escala 6º ano</x:v>
      </x:c>
      <x:c r="B41" s="56" t="str">
        <x:v>6º ano</x:v>
      </x:c>
      <x:c r="C41" s="56" t="str">
        <x:v>MODELO_6_ANO</x:v>
      </x:c>
      <x:c r="D41" s="56" t="str">
        <x:v>GERAL</x:v>
      </x:c>
      <x:c r="E41" s="56" t="str">
        <x:v>Geral (total bruto)</x:v>
      </x:c>
      <x:c r="F41" s="56" t="n">
        <x:v>50</x:v>
      </x:c>
      <x:c r="G41" s="56" t="n">
        <x:v>39</x:v>
      </x:c>
      <x:c r="H41" s="70" t="n">
        <x:f>G41/F41</x:f>
        <x:v>0.78</x:v>
      </x:c>
      <x:c r="I41" s="59" t="n">
        <x:f>'Premissas'!$B$12</x:f>
        <x:v>0</x:v>
      </x:c>
      <x:c r="J41" s="59" t="n">
        <x:f>'Premissas'!$G$12</x:f>
        <x:v>1</x:v>
      </x:c>
      <x:c r="K41" s="57" t="n">
        <x:f>ROUND(MAX('Premissas'!$B$5,L41-N41),1)</x:f>
        <x:v>699.6</x:v>
      </x:c>
      <x:c r="L41" s="57" t="n">
        <x:f>ROUND(MAX('Premissas'!$B$5,MIN('Premissas'!$B$6,'Premissas'!$B$5+('Premissas'!$B$6-'Premissas'!$B$5)*(3*H41^2-2*H41^3)+I41*4*H41*(1-H41))),1)</x:f>
        <x:v>725.7</x:v>
      </x:c>
      <x:c r="M41" s="57" t="n">
        <x:f>ROUND(MIN('Premissas'!$B$6,L41+N41),1)</x:f>
        <x:v>751.8</x:v>
      </x:c>
      <x:c r="N41" s="57" t="n">
        <x:f>ROUND('Premissas'!$B$7*J41*SQRT(10/F41)*4*H41*(1-H41),1)</x:f>
        <x:v>26.1</x:v>
      </x:c>
      <x:c r="O41" s="56" t="str">
        <x:v>PROVISÓRIA</x:v>
      </x:c>
    </x:row>
    <x:row r="42">
      <x:c r="A42" s="66" t="str">
        <x:v>Escala 6º ano</x:v>
      </x:c>
      <x:c r="B42" s="66" t="str">
        <x:v>6º ano</x:v>
      </x:c>
      <x:c r="C42" s="66" t="str">
        <x:v>MODELO_6_ANO</x:v>
      </x:c>
      <x:c r="D42" s="66" t="str">
        <x:v>GERAL</x:v>
      </x:c>
      <x:c r="E42" s="66" t="str">
        <x:v>Geral (total bruto)</x:v>
      </x:c>
      <x:c r="F42" s="66" t="n">
        <x:v>50</x:v>
      </x:c>
      <x:c r="G42" s="66" t="n">
        <x:v>40</x:v>
      </x:c>
      <x:c r="H42" s="67" t="n">
        <x:f>G42/F42</x:f>
        <x:v>0.8</x:v>
      </x:c>
      <x:c r="I42" s="68" t="n">
        <x:f>'Premissas'!$B$12</x:f>
        <x:v>0</x:v>
      </x:c>
      <x:c r="J42" s="68" t="n">
        <x:f>'Premissas'!$G$12</x:f>
        <x:v>1</x:v>
      </x:c>
      <x:c r="K42" s="69" t="n">
        <x:f>ROUND(MAX('Premissas'!$B$5,L42-N42),1)</x:f>
        <x:v>713.3</x:v>
      </x:c>
      <x:c r="L42" s="69" t="n">
        <x:f>ROUND(MAX('Premissas'!$B$5,MIN('Premissas'!$B$6,'Premissas'!$B$5+('Premissas'!$B$6-'Premissas'!$B$5)*(3*H42^2-2*H42^3)+I42*4*H42*(1-H42))),1)</x:f>
        <x:v>737.6</x:v>
      </x:c>
      <x:c r="M42" s="69" t="n">
        <x:f>ROUND(MIN('Premissas'!$B$6,L42+N42),1)</x:f>
        <x:v>761.9</x:v>
      </x:c>
      <x:c r="N42" s="69" t="n">
        <x:f>ROUND('Premissas'!$B$7*J42*SQRT(10/F42)*4*H42*(1-H42),1)</x:f>
        <x:v>24.3</x:v>
      </x:c>
      <x:c r="O42" s="66" t="str">
        <x:v>PROVISÓRIA</x:v>
      </x:c>
    </x:row>
    <x:row r="43">
      <x:c r="A43" s="56" t="str">
        <x:v>Escala 6º ano</x:v>
      </x:c>
      <x:c r="B43" s="56" t="str">
        <x:v>6º ano</x:v>
      </x:c>
      <x:c r="C43" s="56" t="str">
        <x:v>MODELO_6_ANO</x:v>
      </x:c>
      <x:c r="D43" s="56" t="str">
        <x:v>GERAL</x:v>
      </x:c>
      <x:c r="E43" s="56" t="str">
        <x:v>Geral (total bruto)</x:v>
      </x:c>
      <x:c r="F43" s="56" t="n">
        <x:v>50</x:v>
      </x:c>
      <x:c r="G43" s="56" t="n">
        <x:v>41</x:v>
      </x:c>
      <x:c r="H43" s="70" t="n">
        <x:f>G43/F43</x:f>
        <x:v>0.82</x:v>
      </x:c>
      <x:c r="I43" s="59" t="n">
        <x:f>'Premissas'!$B$12</x:f>
        <x:v>0</x:v>
      </x:c>
      <x:c r="J43" s="59" t="n">
        <x:f>'Premissas'!$G$12</x:f>
        <x:v>1</x:v>
      </x:c>
      <x:c r="K43" s="57" t="n">
        <x:f>ROUND(MAX('Premissas'!$B$5,L43-N43),1)</x:f>
        <x:v>726.3</x:v>
      </x:c>
      <x:c r="L43" s="57" t="n">
        <x:f>ROUND(MAX('Premissas'!$B$5,MIN('Premissas'!$B$6,'Premissas'!$B$5+('Premissas'!$B$6-'Premissas'!$B$5)*(3*H43^2-2*H43^3)+I43*4*H43*(1-H43))),1)</x:f>
        <x:v>748.7</x:v>
      </x:c>
      <x:c r="M43" s="57" t="n">
        <x:f>ROUND(MIN('Premissas'!$B$6,L43+N43),1)</x:f>
        <x:v>771.1</x:v>
      </x:c>
      <x:c r="N43" s="57" t="n">
        <x:f>ROUND('Premissas'!$B$7*J43*SQRT(10/F43)*4*H43*(1-H43),1)</x:f>
        <x:v>22.4</x:v>
      </x:c>
      <x:c r="O43" s="56" t="str">
        <x:v>PROVISÓRIA</x:v>
      </x:c>
    </x:row>
    <x:row r="44">
      <x:c r="A44" s="66" t="str">
        <x:v>Escala 6º ano</x:v>
      </x:c>
      <x:c r="B44" s="66" t="str">
        <x:v>6º ano</x:v>
      </x:c>
      <x:c r="C44" s="66" t="str">
        <x:v>MODELO_6_ANO</x:v>
      </x:c>
      <x:c r="D44" s="66" t="str">
        <x:v>GERAL</x:v>
      </x:c>
      <x:c r="E44" s="66" t="str">
        <x:v>Geral (total bruto)</x:v>
      </x:c>
      <x:c r="F44" s="66" t="n">
        <x:v>50</x:v>
      </x:c>
      <x:c r="G44" s="66" t="n">
        <x:v>42</x:v>
      </x:c>
      <x:c r="H44" s="67" t="n">
        <x:f>G44/F44</x:f>
        <x:v>0.84</x:v>
      </x:c>
      <x:c r="I44" s="68" t="n">
        <x:f>'Premissas'!$B$12</x:f>
        <x:v>0</x:v>
      </x:c>
      <x:c r="J44" s="68" t="n">
        <x:f>'Premissas'!$G$12</x:f>
        <x:v>1</x:v>
      </x:c>
      <x:c r="K44" s="69" t="n">
        <x:f>ROUND(MAX('Premissas'!$B$5,L44-N44),1)</x:f>
        <x:v>738.4</x:v>
      </x:c>
      <x:c r="L44" s="69" t="n">
        <x:f>ROUND(MAX('Premissas'!$B$5,MIN('Premissas'!$B$6,'Premissas'!$B$5+('Premissas'!$B$6-'Premissas'!$B$5)*(3*H44^2-2*H44^3)+I44*4*H44*(1-H44))),1)</x:f>
        <x:v>758.8</x:v>
      </x:c>
      <x:c r="M44" s="69" t="n">
        <x:f>ROUND(MIN('Premissas'!$B$6,L44+N44),1)</x:f>
        <x:v>779.2</x:v>
      </x:c>
      <x:c r="N44" s="69" t="n">
        <x:f>ROUND('Premissas'!$B$7*J44*SQRT(10/F44)*4*H44*(1-H44),1)</x:f>
        <x:v>20.4</x:v>
      </x:c>
      <x:c r="O44" s="66" t="str">
        <x:v>PROVISÓRIA</x:v>
      </x:c>
    </x:row>
    <x:row r="45">
      <x:c r="A45" s="56" t="str">
        <x:v>Escala 6º ano</x:v>
      </x:c>
      <x:c r="B45" s="56" t="str">
        <x:v>6º ano</x:v>
      </x:c>
      <x:c r="C45" s="56" t="str">
        <x:v>MODELO_6_ANO</x:v>
      </x:c>
      <x:c r="D45" s="56" t="str">
        <x:v>GERAL</x:v>
      </x:c>
      <x:c r="E45" s="56" t="str">
        <x:v>Geral (total bruto)</x:v>
      </x:c>
      <x:c r="F45" s="56" t="n">
        <x:v>50</x:v>
      </x:c>
      <x:c r="G45" s="56" t="n">
        <x:v>43</x:v>
      </x:c>
      <x:c r="H45" s="70" t="n">
        <x:f>G45/F45</x:f>
        <x:v>0.86</x:v>
      </x:c>
      <x:c r="I45" s="59" t="n">
        <x:f>'Premissas'!$B$12</x:f>
        <x:v>0</x:v>
      </x:c>
      <x:c r="J45" s="59" t="n">
        <x:f>'Premissas'!$G$12</x:f>
        <x:v>1</x:v>
      </x:c>
      <x:c r="K45" s="57" t="n">
        <x:f>ROUND(MAX('Premissas'!$B$5,L45-N45),1)</x:f>
        <x:v>749.7</x:v>
      </x:c>
      <x:c r="L45" s="57" t="n">
        <x:f>ROUND(MAX('Premissas'!$B$5,MIN('Premissas'!$B$6,'Premissas'!$B$5+('Premissas'!$B$6-'Premissas'!$B$5)*(3*H45^2-2*H45^3)+I45*4*H45*(1-H45))),1)</x:f>
        <x:v>768</x:v>
      </x:c>
      <x:c r="M45" s="57" t="n">
        <x:f>ROUND(MIN('Premissas'!$B$6,L45+N45),1)</x:f>
        <x:v>786.3</x:v>
      </x:c>
      <x:c r="N45" s="57" t="n">
        <x:f>ROUND('Premissas'!$B$7*J45*SQRT(10/F45)*4*H45*(1-H45),1)</x:f>
        <x:v>18.3</x:v>
      </x:c>
      <x:c r="O45" s="56" t="str">
        <x:v>PROVISÓRIA</x:v>
      </x:c>
    </x:row>
    <x:row r="46">
      <x:c r="A46" s="66" t="str">
        <x:v>Escala 6º ano</x:v>
      </x:c>
      <x:c r="B46" s="66" t="str">
        <x:v>6º ano</x:v>
      </x:c>
      <x:c r="C46" s="66" t="str">
        <x:v>MODELO_6_ANO</x:v>
      </x:c>
      <x:c r="D46" s="66" t="str">
        <x:v>GERAL</x:v>
      </x:c>
      <x:c r="E46" s="66" t="str">
        <x:v>Geral (total bruto)</x:v>
      </x:c>
      <x:c r="F46" s="66" t="n">
        <x:v>50</x:v>
      </x:c>
      <x:c r="G46" s="66" t="n">
        <x:v>44</x:v>
      </x:c>
      <x:c r="H46" s="67" t="n">
        <x:f>G46/F46</x:f>
        <x:v>0.88</x:v>
      </x:c>
      <x:c r="I46" s="68" t="n">
        <x:f>'Premissas'!$B$12</x:f>
        <x:v>0</x:v>
      </x:c>
      <x:c r="J46" s="68" t="n">
        <x:f>'Premissas'!$G$12</x:f>
        <x:v>1</x:v>
      </x:c>
      <x:c r="K46" s="69" t="n">
        <x:f>ROUND(MAX('Premissas'!$B$5,L46-N46),1)</x:f>
        <x:v>760.1</x:v>
      </x:c>
      <x:c r="L46" s="69" t="n">
        <x:f>ROUND(MAX('Premissas'!$B$5,MIN('Premissas'!$B$6,'Premissas'!$B$5+('Premissas'!$B$6-'Premissas'!$B$5)*(3*H46^2-2*H46^3)+I46*4*H46*(1-H46))),1)</x:f>
        <x:v>776.2</x:v>
      </x:c>
      <x:c r="M46" s="69" t="n">
        <x:f>ROUND(MIN('Premissas'!$B$6,L46+N46),1)</x:f>
        <x:v>792.3</x:v>
      </x:c>
      <x:c r="N46" s="69" t="n">
        <x:f>ROUND('Premissas'!$B$7*J46*SQRT(10/F46)*4*H46*(1-H46),1)</x:f>
        <x:v>16.1</x:v>
      </x:c>
      <x:c r="O46" s="66" t="str">
        <x:v>PROVISÓRIA</x:v>
      </x:c>
    </x:row>
    <x:row r="47">
      <x:c r="A47" s="56" t="str">
        <x:v>Escala 6º ano</x:v>
      </x:c>
      <x:c r="B47" s="56" t="str">
        <x:v>6º ano</x:v>
      </x:c>
      <x:c r="C47" s="56" t="str">
        <x:v>MODELO_6_ANO</x:v>
      </x:c>
      <x:c r="D47" s="56" t="str">
        <x:v>GERAL</x:v>
      </x:c>
      <x:c r="E47" s="56" t="str">
        <x:v>Geral (total bruto)</x:v>
      </x:c>
      <x:c r="F47" s="56" t="n">
        <x:v>50</x:v>
      </x:c>
      <x:c r="G47" s="56" t="n">
        <x:v>45</x:v>
      </x:c>
      <x:c r="H47" s="70" t="n">
        <x:f>G47/F47</x:f>
        <x:v>0.9</x:v>
      </x:c>
      <x:c r="I47" s="59" t="n">
        <x:f>'Premissas'!$B$12</x:f>
        <x:v>0</x:v>
      </x:c>
      <x:c r="J47" s="59" t="n">
        <x:f>'Premissas'!$G$12</x:f>
        <x:v>1</x:v>
      </x:c>
      <x:c r="K47" s="57" t="n">
        <x:f>ROUND(MAX('Premissas'!$B$5,L47-N47),1)</x:f>
        <x:v>769.5</x:v>
      </x:c>
      <x:c r="L47" s="57" t="n">
        <x:f>ROUND(MAX('Premissas'!$B$5,MIN('Premissas'!$B$6,'Premissas'!$B$5+('Premissas'!$B$6-'Premissas'!$B$5)*(3*H47^2-2*H47^3)+I47*4*H47*(1-H47))),1)</x:f>
        <x:v>783.2</x:v>
      </x:c>
      <x:c r="M47" s="57" t="n">
        <x:f>ROUND(MIN('Premissas'!$B$6,L47+N47),1)</x:f>
        <x:v>796.9</x:v>
      </x:c>
      <x:c r="N47" s="57" t="n">
        <x:f>ROUND('Premissas'!$B$7*J47*SQRT(10/F47)*4*H47*(1-H47),1)</x:f>
        <x:v>13.7</x:v>
      </x:c>
      <x:c r="O47" s="56" t="str">
        <x:v>PROVISÓRIA</x:v>
      </x:c>
    </x:row>
    <x:row r="48">
      <x:c r="A48" s="66" t="str">
        <x:v>Escala 6º ano</x:v>
      </x:c>
      <x:c r="B48" s="66" t="str">
        <x:v>6º ano</x:v>
      </x:c>
      <x:c r="C48" s="66" t="str">
        <x:v>MODELO_6_ANO</x:v>
      </x:c>
      <x:c r="D48" s="66" t="str">
        <x:v>GERAL</x:v>
      </x:c>
      <x:c r="E48" s="66" t="str">
        <x:v>Geral (total bruto)</x:v>
      </x:c>
      <x:c r="F48" s="66" t="n">
        <x:v>50</x:v>
      </x:c>
      <x:c r="G48" s="66" t="n">
        <x:v>46</x:v>
      </x:c>
      <x:c r="H48" s="67" t="n">
        <x:f>G48/F48</x:f>
        <x:v>0.92</x:v>
      </x:c>
      <x:c r="I48" s="68" t="n">
        <x:f>'Premissas'!$B$12</x:f>
        <x:v>0</x:v>
      </x:c>
      <x:c r="J48" s="68" t="n">
        <x:f>'Premissas'!$G$12</x:f>
        <x:v>1</x:v>
      </x:c>
      <x:c r="K48" s="69" t="n">
        <x:f>ROUND(MAX('Premissas'!$B$5,L48-N48),1)</x:f>
        <x:v>777.9</x:v>
      </x:c>
      <x:c r="L48" s="69" t="n">
        <x:f>ROUND(MAX('Premissas'!$B$5,MIN('Premissas'!$B$6,'Premissas'!$B$5+('Premissas'!$B$6-'Premissas'!$B$5)*(3*H48^2-2*H48^3)+I48*4*H48*(1-H48))),1)</x:f>
        <x:v>789.1</x:v>
      </x:c>
      <x:c r="M48" s="69" t="n">
        <x:f>ROUND(MIN('Premissas'!$B$6,L48+N48),1)</x:f>
        <x:v>800</x:v>
      </x:c>
      <x:c r="N48" s="69" t="n">
        <x:f>ROUND('Premissas'!$B$7*J48*SQRT(10/F48)*4*H48*(1-H48),1)</x:f>
        <x:v>11.2</x:v>
      </x:c>
      <x:c r="O48" s="66" t="str">
        <x:v>PROVISÓRIA</x:v>
      </x:c>
    </x:row>
    <x:row r="49">
      <x:c r="A49" s="56" t="str">
        <x:v>Escala 6º ano</x:v>
      </x:c>
      <x:c r="B49" s="56" t="str">
        <x:v>6º ano</x:v>
      </x:c>
      <x:c r="C49" s="56" t="str">
        <x:v>MODELO_6_ANO</x:v>
      </x:c>
      <x:c r="D49" s="56" t="str">
        <x:v>GERAL</x:v>
      </x:c>
      <x:c r="E49" s="56" t="str">
        <x:v>Geral (total bruto)</x:v>
      </x:c>
      <x:c r="F49" s="56" t="n">
        <x:v>50</x:v>
      </x:c>
      <x:c r="G49" s="56" t="n">
        <x:v>47</x:v>
      </x:c>
      <x:c r="H49" s="70" t="n">
        <x:f>G49/F49</x:f>
        <x:v>0.94</x:v>
      </x:c>
      <x:c r="I49" s="59" t="n">
        <x:f>'Premissas'!$B$12</x:f>
        <x:v>0</x:v>
      </x:c>
      <x:c r="J49" s="59" t="n">
        <x:f>'Premissas'!$G$12</x:f>
        <x:v>1</x:v>
      </x:c>
      <x:c r="K49" s="57" t="n">
        <x:f>ROUND(MAX('Premissas'!$B$5,L49-N49),1)</x:f>
        <x:v>785.2</x:v>
      </x:c>
      <x:c r="L49" s="57" t="n">
        <x:f>ROUND(MAX('Premissas'!$B$5,MIN('Premissas'!$B$6,'Premissas'!$B$5+('Premissas'!$B$6-'Premissas'!$B$5)*(3*H49^2-2*H49^3)+I49*4*H49*(1-H49))),1)</x:f>
        <x:v>793.8</x:v>
      </x:c>
      <x:c r="M49" s="57" t="n">
        <x:f>ROUND(MIN('Premissas'!$B$6,L49+N49),1)</x:f>
        <x:v>800</x:v>
      </x:c>
      <x:c r="N49" s="57" t="n">
        <x:f>ROUND('Premissas'!$B$7*J49*SQRT(10/F49)*4*H49*(1-H49),1)</x:f>
        <x:v>8.6</x:v>
      </x:c>
      <x:c r="O49" s="56" t="str">
        <x:v>PROVISÓRIA</x:v>
      </x:c>
    </x:row>
    <x:row r="50">
      <x:c r="A50" s="66" t="str">
        <x:v>Escala 6º ano</x:v>
      </x:c>
      <x:c r="B50" s="66" t="str">
        <x:v>6º ano</x:v>
      </x:c>
      <x:c r="C50" s="66" t="str">
        <x:v>MODELO_6_ANO</x:v>
      </x:c>
      <x:c r="D50" s="66" t="str">
        <x:v>GERAL</x:v>
      </x:c>
      <x:c r="E50" s="66" t="str">
        <x:v>Geral (total bruto)</x:v>
      </x:c>
      <x:c r="F50" s="66" t="n">
        <x:v>50</x:v>
      </x:c>
      <x:c r="G50" s="66" t="n">
        <x:v>48</x:v>
      </x:c>
      <x:c r="H50" s="67" t="n">
        <x:f>G50/F50</x:f>
        <x:v>0.96</x:v>
      </x:c>
      <x:c r="I50" s="68" t="n">
        <x:f>'Premissas'!$B$12</x:f>
        <x:v>0</x:v>
      </x:c>
      <x:c r="J50" s="68" t="n">
        <x:f>'Premissas'!$G$12</x:f>
        <x:v>1</x:v>
      </x:c>
      <x:c r="K50" s="69" t="n">
        <x:f>ROUND(MAX('Premissas'!$B$5,L50-N50),1)</x:f>
        <x:v>791.4</x:v>
      </x:c>
      <x:c r="L50" s="69" t="n">
        <x:f>ROUND(MAX('Premissas'!$B$5,MIN('Premissas'!$B$6,'Premissas'!$B$5+('Premissas'!$B$6-'Premissas'!$B$5)*(3*H50^2-2*H50^3)+I50*4*H50*(1-H50))),1)</x:f>
        <x:v>797.2</x:v>
      </x:c>
      <x:c r="M50" s="69" t="n">
        <x:f>ROUND(MIN('Premissas'!$B$6,L50+N50),1)</x:f>
        <x:v>800</x:v>
      </x:c>
      <x:c r="N50" s="69" t="n">
        <x:f>ROUND('Premissas'!$B$7*J50*SQRT(10/F50)*4*H50*(1-H50),1)</x:f>
        <x:v>5.8</x:v>
      </x:c>
      <x:c r="O50" s="66" t="str">
        <x:v>PROVISÓRIA</x:v>
      </x:c>
    </x:row>
    <x:row r="51">
      <x:c r="A51" s="56" t="str">
        <x:v>Escala 6º ano</x:v>
      </x:c>
      <x:c r="B51" s="56" t="str">
        <x:v>6º ano</x:v>
      </x:c>
      <x:c r="C51" s="56" t="str">
        <x:v>MODELO_6_ANO</x:v>
      </x:c>
      <x:c r="D51" s="56" t="str">
        <x:v>GERAL</x:v>
      </x:c>
      <x:c r="E51" s="56" t="str">
        <x:v>Geral (total bruto)</x:v>
      </x:c>
      <x:c r="F51" s="56" t="n">
        <x:v>50</x:v>
      </x:c>
      <x:c r="G51" s="56" t="n">
        <x:v>49</x:v>
      </x:c>
      <x:c r="H51" s="70" t="n">
        <x:f>G51/F51</x:f>
        <x:v>0.98</x:v>
      </x:c>
      <x:c r="I51" s="59" t="n">
        <x:f>'Premissas'!$B$12</x:f>
        <x:v>0</x:v>
      </x:c>
      <x:c r="J51" s="59" t="n">
        <x:f>'Premissas'!$G$12</x:f>
        <x:v>1</x:v>
      </x:c>
      <x:c r="K51" s="57" t="n">
        <x:f>ROUND(MAX('Premissas'!$B$5,L51-N51),1)</x:f>
        <x:v>796.3</x:v>
      </x:c>
      <x:c r="L51" s="57" t="n">
        <x:f>ROUND(MAX('Premissas'!$B$5,MIN('Premissas'!$B$6,'Premissas'!$B$5+('Premissas'!$B$6-'Premissas'!$B$5)*(3*H51^2-2*H51^3)+I51*4*H51*(1-H51))),1)</x:f>
        <x:v>799.3</x:v>
      </x:c>
      <x:c r="M51" s="57" t="n">
        <x:f>ROUND(MIN('Premissas'!$B$6,L51+N51),1)</x:f>
        <x:v>800</x:v>
      </x:c>
      <x:c r="N51" s="57" t="n">
        <x:f>ROUND('Premissas'!$B$7*J51*SQRT(10/F51)*4*H51*(1-H51),1)</x:f>
        <x:v>3</x:v>
      </x:c>
      <x:c r="O51" s="56" t="str">
        <x:v>PROVISÓRIA</x:v>
      </x:c>
    </x:row>
    <x:row r="52">
      <x:c r="A52" s="66" t="str">
        <x:v>Escala 6º ano</x:v>
      </x:c>
      <x:c r="B52" s="66" t="str">
        <x:v>6º ano</x:v>
      </x:c>
      <x:c r="C52" s="66" t="str">
        <x:v>MODELO_6_ANO</x:v>
      </x:c>
      <x:c r="D52" s="66" t="str">
        <x:v>GERAL</x:v>
      </x:c>
      <x:c r="E52" s="66" t="str">
        <x:v>Geral (total bruto)</x:v>
      </x:c>
      <x:c r="F52" s="66" t="n">
        <x:v>50</x:v>
      </x:c>
      <x:c r="G52" s="66" t="n">
        <x:v>50</x:v>
      </x:c>
      <x:c r="H52" s="67" t="n">
        <x:f>G52/F52</x:f>
        <x:v>1</x:v>
      </x:c>
      <x:c r="I52" s="68" t="n">
        <x:f>'Premissas'!$B$12</x:f>
        <x:v>0</x:v>
      </x:c>
      <x:c r="J52" s="68" t="n">
        <x:f>'Premissas'!$G$12</x:f>
        <x:v>1</x:v>
      </x:c>
      <x:c r="K52" s="69" t="n">
        <x:f>ROUND(MAX('Premissas'!$B$5,L52-N52),1)</x:f>
        <x:v>800</x:v>
      </x:c>
      <x:c r="L52" s="69" t="n">
        <x:f>ROUND(MAX('Premissas'!$B$5,MIN('Premissas'!$B$6,'Premissas'!$B$5+('Premissas'!$B$6-'Premissas'!$B$5)*(3*H52^2-2*H52^3)+I52*4*H52*(1-H52))),1)</x:f>
        <x:v>800</x:v>
      </x:c>
      <x:c r="M52" s="69" t="n">
        <x:f>ROUND(MIN('Premissas'!$B$6,L52+N52),1)</x:f>
        <x:v>800</x:v>
      </x:c>
      <x:c r="N52" s="69" t="n">
        <x:f>ROUND('Premissas'!$B$7*J52*SQRT(10/F52)*4*H52*(1-H52),1)</x:f>
        <x:v>0</x:v>
      </x:c>
      <x:c r="O52" s="66" t="str">
        <x:v>PROVISÓRIA</x:v>
      </x:c>
    </x:row>
    <x:row r="53">
      <x:c r="A53" s="56" t="str">
        <x:v>Escala 6º ano</x:v>
      </x:c>
      <x:c r="B53" s="56" t="str">
        <x:v>6º ano</x:v>
      </x:c>
      <x:c r="C53" s="56" t="str">
        <x:v>MODELO_6_ANO</x:v>
      </x:c>
      <x:c r="D53" s="56" t="str">
        <x:v>LC</x:v>
      </x:c>
      <x:c r="E53" s="56" t="str">
        <x:v>Linguagens</x:v>
      </x:c>
      <x:c r="F53" s="56" t="n">
        <x:v>20</x:v>
      </x:c>
      <x:c r="G53" s="56" t="n">
        <x:v>0</x:v>
      </x:c>
      <x:c r="H53" s="70" t="n">
        <x:f>G53/F53</x:f>
        <x:v>0</x:v>
      </x:c>
      <x:c r="I53" s="59" t="n">
        <x:f>'Premissas'!$B$12</x:f>
        <x:v>0</x:v>
      </x:c>
      <x:c r="J53" s="59" t="n">
        <x:f>'Premissas'!$G$13</x:f>
        <x:v>1</x:v>
      </x:c>
      <x:c r="K53" s="57" t="n">
        <x:f>ROUND(MAX('Premissas'!$B$5,L53-N53),1)</x:f>
        <x:v>200</x:v>
      </x:c>
      <x:c r="L53" s="57" t="n">
        <x:f>ROUND(MAX('Premissas'!$B$5,MIN('Premissas'!$B$6,'Premissas'!$B$5+('Premissas'!$B$6-'Premissas'!$B$5)*(3*H53^2-2*H53^3)+I53*4*H53*(1-H53))),1)</x:f>
        <x:v>200</x:v>
      </x:c>
      <x:c r="M53" s="57" t="n">
        <x:f>ROUND(MIN('Premissas'!$B$6,L53+N53),1)</x:f>
        <x:v>200</x:v>
      </x:c>
      <x:c r="N53" s="57" t="n">
        <x:f>ROUND('Premissas'!$B$7*J53*SQRT(10/F53)*4*H53*(1-H53),1)</x:f>
        <x:v>0</x:v>
      </x:c>
      <x:c r="O53" s="56" t="str">
        <x:v>PROVISÓRIA</x:v>
      </x:c>
    </x:row>
    <x:row r="54">
      <x:c r="A54" s="66" t="str">
        <x:v>Escala 6º ano</x:v>
      </x:c>
      <x:c r="B54" s="66" t="str">
        <x:v>6º ano</x:v>
      </x:c>
      <x:c r="C54" s="66" t="str">
        <x:v>MODELO_6_ANO</x:v>
      </x:c>
      <x:c r="D54" s="66" t="str">
        <x:v>LC</x:v>
      </x:c>
      <x:c r="E54" s="66" t="str">
        <x:v>Linguagens</x:v>
      </x:c>
      <x:c r="F54" s="66" t="n">
        <x:v>20</x:v>
      </x:c>
      <x:c r="G54" s="66" t="n">
        <x:v>1</x:v>
      </x:c>
      <x:c r="H54" s="67" t="n">
        <x:f>G54/F54</x:f>
        <x:v>0.05</x:v>
      </x:c>
      <x:c r="I54" s="68" t="n">
        <x:f>'Premissas'!$B$12</x:f>
        <x:v>0</x:v>
      </x:c>
      <x:c r="J54" s="68" t="n">
        <x:f>'Premissas'!$G$13</x:f>
        <x:v>1</x:v>
      </x:c>
      <x:c r="K54" s="69" t="n">
        <x:f>ROUND(MAX('Premissas'!$B$5,L54-N54),1)</x:f>
        <x:v>200</x:v>
      </x:c>
      <x:c r="L54" s="69" t="n">
        <x:f>ROUND(MAX('Premissas'!$B$5,MIN('Premissas'!$B$6,'Premissas'!$B$5+('Premissas'!$B$6-'Premissas'!$B$5)*(3*H54^2-2*H54^3)+I54*4*H54*(1-H54))),1)</x:f>
        <x:v>204.4</x:v>
      </x:c>
      <x:c r="M54" s="69" t="n">
        <x:f>ROUND(MIN('Premissas'!$B$6,L54+N54),1)</x:f>
        <x:v>215.8</x:v>
      </x:c>
      <x:c r="N54" s="69" t="n">
        <x:f>ROUND('Premissas'!$B$7*J54*SQRT(10/F54)*4*H54*(1-H54),1)</x:f>
        <x:v>11.4</x:v>
      </x:c>
      <x:c r="O54" s="66" t="str">
        <x:v>PROVISÓRIA</x:v>
      </x:c>
    </x:row>
    <x:row r="55">
      <x:c r="A55" s="56" t="str">
        <x:v>Escala 6º ano</x:v>
      </x:c>
      <x:c r="B55" s="56" t="str">
        <x:v>6º ano</x:v>
      </x:c>
      <x:c r="C55" s="56" t="str">
        <x:v>MODELO_6_ANO</x:v>
      </x:c>
      <x:c r="D55" s="56" t="str">
        <x:v>LC</x:v>
      </x:c>
      <x:c r="E55" s="56" t="str">
        <x:v>Linguagens</x:v>
      </x:c>
      <x:c r="F55" s="56" t="n">
        <x:v>20</x:v>
      </x:c>
      <x:c r="G55" s="56" t="n">
        <x:v>2</x:v>
      </x:c>
      <x:c r="H55" s="70" t="n">
        <x:f>G55/F55</x:f>
        <x:v>0.1</x:v>
      </x:c>
      <x:c r="I55" s="59" t="n">
        <x:f>'Premissas'!$B$12</x:f>
        <x:v>0</x:v>
      </x:c>
      <x:c r="J55" s="59" t="n">
        <x:f>'Premissas'!$G$13</x:f>
        <x:v>1</x:v>
      </x:c>
      <x:c r="K55" s="57" t="n">
        <x:f>ROUND(MAX('Premissas'!$B$5,L55-N55),1)</x:f>
        <x:v>200</x:v>
      </x:c>
      <x:c r="L55" s="57" t="n">
        <x:f>ROUND(MAX('Premissas'!$B$5,MIN('Premissas'!$B$6,'Premissas'!$B$5+('Premissas'!$B$6-'Premissas'!$B$5)*(3*H55^2-2*H55^3)+I55*4*H55*(1-H55))),1)</x:f>
        <x:v>216.8</x:v>
      </x:c>
      <x:c r="M55" s="57" t="n">
        <x:f>ROUND(MIN('Premissas'!$B$6,L55+N55),1)</x:f>
        <x:v>238.4</x:v>
      </x:c>
      <x:c r="N55" s="57" t="n">
        <x:f>ROUND('Premissas'!$B$7*J55*SQRT(10/F55)*4*H55*(1-H55),1)</x:f>
        <x:v>21.6</x:v>
      </x:c>
      <x:c r="O55" s="56" t="str">
        <x:v>PROVISÓRIA</x:v>
      </x:c>
    </x:row>
    <x:row r="56">
      <x:c r="A56" s="66" t="str">
        <x:v>Escala 6º ano</x:v>
      </x:c>
      <x:c r="B56" s="66" t="str">
        <x:v>6º ano</x:v>
      </x:c>
      <x:c r="C56" s="66" t="str">
        <x:v>MODELO_6_ANO</x:v>
      </x:c>
      <x:c r="D56" s="66" t="str">
        <x:v>LC</x:v>
      </x:c>
      <x:c r="E56" s="66" t="str">
        <x:v>Linguagens</x:v>
      </x:c>
      <x:c r="F56" s="66" t="n">
        <x:v>20</x:v>
      </x:c>
      <x:c r="G56" s="66" t="n">
        <x:v>3</x:v>
      </x:c>
      <x:c r="H56" s="67" t="n">
        <x:f>G56/F56</x:f>
        <x:v>0.15</x:v>
      </x:c>
      <x:c r="I56" s="68" t="n">
        <x:f>'Premissas'!$B$12</x:f>
        <x:v>0</x:v>
      </x:c>
      <x:c r="J56" s="68" t="n">
        <x:f>'Premissas'!$G$13</x:f>
        <x:v>1</x:v>
      </x:c>
      <x:c r="K56" s="69" t="n">
        <x:f>ROUND(MAX('Premissas'!$B$5,L56-N56),1)</x:f>
        <x:v>205.8</x:v>
      </x:c>
      <x:c r="L56" s="69" t="n">
        <x:f>ROUND(MAX('Premissas'!$B$5,MIN('Premissas'!$B$6,'Premissas'!$B$5+('Premissas'!$B$6-'Premissas'!$B$5)*(3*H56^2-2*H56^3)+I56*4*H56*(1-H56))),1)</x:f>
        <x:v>236.5</x:v>
      </x:c>
      <x:c r="M56" s="69" t="n">
        <x:f>ROUND(MIN('Premissas'!$B$6,L56+N56),1)</x:f>
        <x:v>267.2</x:v>
      </x:c>
      <x:c r="N56" s="69" t="n">
        <x:f>ROUND('Premissas'!$B$7*J56*SQRT(10/F56)*4*H56*(1-H56),1)</x:f>
        <x:v>30.7</x:v>
      </x:c>
      <x:c r="O56" s="66" t="str">
        <x:v>PROVISÓRIA</x:v>
      </x:c>
    </x:row>
    <x:row r="57">
      <x:c r="A57" s="56" t="str">
        <x:v>Escala 6º ano</x:v>
      </x:c>
      <x:c r="B57" s="56" t="str">
        <x:v>6º ano</x:v>
      </x:c>
      <x:c r="C57" s="56" t="str">
        <x:v>MODELO_6_ANO</x:v>
      </x:c>
      <x:c r="D57" s="56" t="str">
        <x:v>LC</x:v>
      </x:c>
      <x:c r="E57" s="56" t="str">
        <x:v>Linguagens</x:v>
      </x:c>
      <x:c r="F57" s="56" t="n">
        <x:v>20</x:v>
      </x:c>
      <x:c r="G57" s="56" t="n">
        <x:v>4</x:v>
      </x:c>
      <x:c r="H57" s="70" t="n">
        <x:f>G57/F57</x:f>
        <x:v>0.2</x:v>
      </x:c>
      <x:c r="I57" s="59" t="n">
        <x:f>'Premissas'!$B$12</x:f>
        <x:v>0</x:v>
      </x:c>
      <x:c r="J57" s="59" t="n">
        <x:f>'Premissas'!$G$13</x:f>
        <x:v>1</x:v>
      </x:c>
      <x:c r="K57" s="57" t="n">
        <x:f>ROUND(MAX('Premissas'!$B$5,L57-N57),1)</x:f>
        <x:v>223.9</x:v>
      </x:c>
      <x:c r="L57" s="57" t="n">
        <x:f>ROUND(MAX('Premissas'!$B$5,MIN('Premissas'!$B$6,'Premissas'!$B$5+('Premissas'!$B$6-'Premissas'!$B$5)*(3*H57^2-2*H57^3)+I57*4*H57*(1-H57))),1)</x:f>
        <x:v>262.4</x:v>
      </x:c>
      <x:c r="M57" s="57" t="n">
        <x:f>ROUND(MIN('Premissas'!$B$6,L57+N57),1)</x:f>
        <x:v>300.9</x:v>
      </x:c>
      <x:c r="N57" s="57" t="n">
        <x:f>ROUND('Premissas'!$B$7*J57*SQRT(10/F57)*4*H57*(1-H57),1)</x:f>
        <x:v>38.5</x:v>
      </x:c>
      <x:c r="O57" s="56" t="str">
        <x:v>PROVISÓRIA</x:v>
      </x:c>
    </x:row>
    <x:row r="58">
      <x:c r="A58" s="66" t="str">
        <x:v>Escala 6º ano</x:v>
      </x:c>
      <x:c r="B58" s="66" t="str">
        <x:v>6º ano</x:v>
      </x:c>
      <x:c r="C58" s="66" t="str">
        <x:v>MODELO_6_ANO</x:v>
      </x:c>
      <x:c r="D58" s="66" t="str">
        <x:v>LC</x:v>
      </x:c>
      <x:c r="E58" s="66" t="str">
        <x:v>Linguagens</x:v>
      </x:c>
      <x:c r="F58" s="66" t="n">
        <x:v>20</x:v>
      </x:c>
      <x:c r="G58" s="66" t="n">
        <x:v>5</x:v>
      </x:c>
      <x:c r="H58" s="67" t="n">
        <x:f>G58/F58</x:f>
        <x:v>0.25</x:v>
      </x:c>
      <x:c r="I58" s="68" t="n">
        <x:f>'Premissas'!$B$12</x:f>
        <x:v>0</x:v>
      </x:c>
      <x:c r="J58" s="68" t="n">
        <x:f>'Premissas'!$G$13</x:f>
        <x:v>1</x:v>
      </x:c>
      <x:c r="K58" s="69" t="n">
        <x:f>ROUND(MAX('Premissas'!$B$5,L58-N58),1)</x:f>
        <x:v>248.7</x:v>
      </x:c>
      <x:c r="L58" s="69" t="n">
        <x:f>ROUND(MAX('Premissas'!$B$5,MIN('Premissas'!$B$6,'Premissas'!$B$5+('Premissas'!$B$6-'Premissas'!$B$5)*(3*H58^2-2*H58^3)+I58*4*H58*(1-H58))),1)</x:f>
        <x:v>293.8</x:v>
      </x:c>
      <x:c r="M58" s="69" t="n">
        <x:f>ROUND(MIN('Premissas'!$B$6,L58+N58),1)</x:f>
        <x:v>338.9</x:v>
      </x:c>
      <x:c r="N58" s="69" t="n">
        <x:f>ROUND('Premissas'!$B$7*J58*SQRT(10/F58)*4*H58*(1-H58),1)</x:f>
        <x:v>45.1</x:v>
      </x:c>
      <x:c r="O58" s="66" t="str">
        <x:v>PROVISÓRIA</x:v>
      </x:c>
    </x:row>
    <x:row r="59">
      <x:c r="A59" s="56" t="str">
        <x:v>Escala 6º ano</x:v>
      </x:c>
      <x:c r="B59" s="56" t="str">
        <x:v>6º ano</x:v>
      </x:c>
      <x:c r="C59" s="56" t="str">
        <x:v>MODELO_6_ANO</x:v>
      </x:c>
      <x:c r="D59" s="56" t="str">
        <x:v>LC</x:v>
      </x:c>
      <x:c r="E59" s="56" t="str">
        <x:v>Linguagens</x:v>
      </x:c>
      <x:c r="F59" s="56" t="n">
        <x:v>20</x:v>
      </x:c>
      <x:c r="G59" s="56" t="n">
        <x:v>6</x:v>
      </x:c>
      <x:c r="H59" s="70" t="n">
        <x:f>G59/F59</x:f>
        <x:v>0.3</x:v>
      </x:c>
      <x:c r="I59" s="59" t="n">
        <x:f>'Premissas'!$B$12</x:f>
        <x:v>0</x:v>
      </x:c>
      <x:c r="J59" s="59" t="n">
        <x:f>'Premissas'!$G$13</x:f>
        <x:v>1</x:v>
      </x:c>
      <x:c r="K59" s="57" t="n">
        <x:f>ROUND(MAX('Premissas'!$B$5,L59-N59),1)</x:f>
        <x:v>279.1</x:v>
      </x:c>
      <x:c r="L59" s="57" t="n">
        <x:f>ROUND(MAX('Premissas'!$B$5,MIN('Premissas'!$B$6,'Premissas'!$B$5+('Premissas'!$B$6-'Premissas'!$B$5)*(3*H59^2-2*H59^3)+I59*4*H59*(1-H59))),1)</x:f>
        <x:v>329.6</x:v>
      </x:c>
      <x:c r="M59" s="57" t="n">
        <x:f>ROUND(MIN('Premissas'!$B$6,L59+N59),1)</x:f>
        <x:v>380.1</x:v>
      </x:c>
      <x:c r="N59" s="57" t="n">
        <x:f>ROUND('Premissas'!$B$7*J59*SQRT(10/F59)*4*H59*(1-H59),1)</x:f>
        <x:v>50.5</x:v>
      </x:c>
      <x:c r="O59" s="56" t="str">
        <x:v>PROVISÓRIA</x:v>
      </x:c>
    </x:row>
    <x:row r="60">
      <x:c r="A60" s="66" t="str">
        <x:v>Escala 6º ano</x:v>
      </x:c>
      <x:c r="B60" s="66" t="str">
        <x:v>6º ano</x:v>
      </x:c>
      <x:c r="C60" s="66" t="str">
        <x:v>MODELO_6_ANO</x:v>
      </x:c>
      <x:c r="D60" s="66" t="str">
        <x:v>LC</x:v>
      </x:c>
      <x:c r="E60" s="66" t="str">
        <x:v>Linguagens</x:v>
      </x:c>
      <x:c r="F60" s="66" t="n">
        <x:v>20</x:v>
      </x:c>
      <x:c r="G60" s="66" t="n">
        <x:v>7</x:v>
      </x:c>
      <x:c r="H60" s="67" t="n">
        <x:f>G60/F60</x:f>
        <x:v>0.35</x:v>
      </x:c>
      <x:c r="I60" s="68" t="n">
        <x:f>'Premissas'!$B$12</x:f>
        <x:v>0</x:v>
      </x:c>
      <x:c r="J60" s="68" t="n">
        <x:f>'Premissas'!$G$13</x:f>
        <x:v>1</x:v>
      </x:c>
      <x:c r="K60" s="69" t="n">
        <x:f>ROUND(MAX('Premissas'!$B$5,L60-N60),1)</x:f>
        <x:v>314.3</x:v>
      </x:c>
      <x:c r="L60" s="69" t="n">
        <x:f>ROUND(MAX('Premissas'!$B$5,MIN('Premissas'!$B$6,'Premissas'!$B$5+('Premissas'!$B$6-'Premissas'!$B$5)*(3*H60^2-2*H60^3)+I60*4*H60*(1-H60))),1)</x:f>
        <x:v>369</x:v>
      </x:c>
      <x:c r="M60" s="69" t="n">
        <x:f>ROUND(MIN('Premissas'!$B$6,L60+N60),1)</x:f>
        <x:v>423.7</x:v>
      </x:c>
      <x:c r="N60" s="69" t="n">
        <x:f>ROUND('Premissas'!$B$7*J60*SQRT(10/F60)*4*H60*(1-H60),1)</x:f>
        <x:v>54.7</x:v>
      </x:c>
      <x:c r="O60" s="66" t="str">
        <x:v>PROVISÓRIA</x:v>
      </x:c>
    </x:row>
    <x:row r="61">
      <x:c r="A61" s="56" t="str">
        <x:v>Escala 6º ano</x:v>
      </x:c>
      <x:c r="B61" s="56" t="str">
        <x:v>6º ano</x:v>
      </x:c>
      <x:c r="C61" s="56" t="str">
        <x:v>MODELO_6_ANO</x:v>
      </x:c>
      <x:c r="D61" s="56" t="str">
        <x:v>LC</x:v>
      </x:c>
      <x:c r="E61" s="56" t="str">
        <x:v>Linguagens</x:v>
      </x:c>
      <x:c r="F61" s="56" t="n">
        <x:v>20</x:v>
      </x:c>
      <x:c r="G61" s="56" t="n">
        <x:v>8</x:v>
      </x:c>
      <x:c r="H61" s="70" t="n">
        <x:f>G61/F61</x:f>
        <x:v>0.4</x:v>
      </x:c>
      <x:c r="I61" s="59" t="n">
        <x:f>'Premissas'!$B$12</x:f>
        <x:v>0</x:v>
      </x:c>
      <x:c r="J61" s="59" t="n">
        <x:f>'Premissas'!$G$13</x:f>
        <x:v>1</x:v>
      </x:c>
      <x:c r="K61" s="57" t="n">
        <x:f>ROUND(MAX('Premissas'!$B$5,L61-N61),1)</x:f>
        <x:v>353.5</x:v>
      </x:c>
      <x:c r="L61" s="57" t="n">
        <x:f>ROUND(MAX('Premissas'!$B$5,MIN('Premissas'!$B$6,'Premissas'!$B$5+('Premissas'!$B$6-'Premissas'!$B$5)*(3*H61^2-2*H61^3)+I61*4*H61*(1-H61))),1)</x:f>
        <x:v>411.2</x:v>
      </x:c>
      <x:c r="M61" s="57" t="n">
        <x:f>ROUND(MIN('Premissas'!$B$6,L61+N61),1)</x:f>
        <x:v>468.9</x:v>
      </x:c>
      <x:c r="N61" s="57" t="n">
        <x:f>ROUND('Premissas'!$B$7*J61*SQRT(10/F61)*4*H61*(1-H61),1)</x:f>
        <x:v>57.7</x:v>
      </x:c>
      <x:c r="O61" s="56" t="str">
        <x:v>PROVISÓRIA</x:v>
      </x:c>
    </x:row>
    <x:row r="62">
      <x:c r="A62" s="66" t="str">
        <x:v>Escala 6º ano</x:v>
      </x:c>
      <x:c r="B62" s="66" t="str">
        <x:v>6º ano</x:v>
      </x:c>
      <x:c r="C62" s="66" t="str">
        <x:v>MODELO_6_ANO</x:v>
      </x:c>
      <x:c r="D62" s="66" t="str">
        <x:v>LC</x:v>
      </x:c>
      <x:c r="E62" s="66" t="str">
        <x:v>Linguagens</x:v>
      </x:c>
      <x:c r="F62" s="66" t="n">
        <x:v>20</x:v>
      </x:c>
      <x:c r="G62" s="66" t="n">
        <x:v>9</x:v>
      </x:c>
      <x:c r="H62" s="67" t="n">
        <x:f>G62/F62</x:f>
        <x:v>0.45</x:v>
      </x:c>
      <x:c r="I62" s="68" t="n">
        <x:f>'Premissas'!$B$12</x:f>
        <x:v>0</x:v>
      </x:c>
      <x:c r="J62" s="68" t="n">
        <x:f>'Premissas'!$G$13</x:f>
        <x:v>1</x:v>
      </x:c>
      <x:c r="K62" s="69" t="n">
        <x:f>ROUND(MAX('Premissas'!$B$5,L62-N62),1)</x:f>
        <x:v>395.7</x:v>
      </x:c>
      <x:c r="L62" s="69" t="n">
        <x:f>ROUND(MAX('Premissas'!$B$5,MIN('Premissas'!$B$6,'Premissas'!$B$5+('Premissas'!$B$6-'Premissas'!$B$5)*(3*H62^2-2*H62^3)+I62*4*H62*(1-H62))),1)</x:f>
        <x:v>455.2</x:v>
      </x:c>
      <x:c r="M62" s="69" t="n">
        <x:f>ROUND(MIN('Premissas'!$B$6,L62+N62),1)</x:f>
        <x:v>514.7</x:v>
      </x:c>
      <x:c r="N62" s="69" t="n">
        <x:f>ROUND('Premissas'!$B$7*J62*SQRT(10/F62)*4*H62*(1-H62),1)</x:f>
        <x:v>59.5</x:v>
      </x:c>
      <x:c r="O62" s="66" t="str">
        <x:v>PROVISÓRIA</x:v>
      </x:c>
    </x:row>
    <x:row r="63">
      <x:c r="A63" s="56" t="str">
        <x:v>Escala 6º ano</x:v>
      </x:c>
      <x:c r="B63" s="56" t="str">
        <x:v>6º ano</x:v>
      </x:c>
      <x:c r="C63" s="56" t="str">
        <x:v>MODELO_6_ANO</x:v>
      </x:c>
      <x:c r="D63" s="56" t="str">
        <x:v>LC</x:v>
      </x:c>
      <x:c r="E63" s="56" t="str">
        <x:v>Linguagens</x:v>
      </x:c>
      <x:c r="F63" s="56" t="n">
        <x:v>20</x:v>
      </x:c>
      <x:c r="G63" s="56" t="n">
        <x:v>10</x:v>
      </x:c>
      <x:c r="H63" s="70" t="n">
        <x:f>G63/F63</x:f>
        <x:v>0.5</x:v>
      </x:c>
      <x:c r="I63" s="59" t="n">
        <x:f>'Premissas'!$B$12</x:f>
        <x:v>0</x:v>
      </x:c>
      <x:c r="J63" s="59" t="n">
        <x:f>'Premissas'!$G$13</x:f>
        <x:v>1</x:v>
      </x:c>
      <x:c r="K63" s="57" t="n">
        <x:f>ROUND(MAX('Premissas'!$B$5,L63-N63),1)</x:f>
        <x:v>439.9</x:v>
      </x:c>
      <x:c r="L63" s="57" t="n">
        <x:f>ROUND(MAX('Premissas'!$B$5,MIN('Premissas'!$B$6,'Premissas'!$B$5+('Premissas'!$B$6-'Premissas'!$B$5)*(3*H63^2-2*H63^3)+I63*4*H63*(1-H63))),1)</x:f>
        <x:v>500</x:v>
      </x:c>
      <x:c r="M63" s="57" t="n">
        <x:f>ROUND(MIN('Premissas'!$B$6,L63+N63),1)</x:f>
        <x:v>560.1</x:v>
      </x:c>
      <x:c r="N63" s="57" t="n">
        <x:f>ROUND('Premissas'!$B$7*J63*SQRT(10/F63)*4*H63*(1-H63),1)</x:f>
        <x:v>60.1</x:v>
      </x:c>
      <x:c r="O63" s="56" t="str">
        <x:v>PROVISÓRIA</x:v>
      </x:c>
    </x:row>
    <x:row r="64">
      <x:c r="A64" s="66" t="str">
        <x:v>Escala 6º ano</x:v>
      </x:c>
      <x:c r="B64" s="66" t="str">
        <x:v>6º ano</x:v>
      </x:c>
      <x:c r="C64" s="66" t="str">
        <x:v>MODELO_6_ANO</x:v>
      </x:c>
      <x:c r="D64" s="66" t="str">
        <x:v>LC</x:v>
      </x:c>
      <x:c r="E64" s="66" t="str">
        <x:v>Linguagens</x:v>
      </x:c>
      <x:c r="F64" s="66" t="n">
        <x:v>20</x:v>
      </x:c>
      <x:c r="G64" s="66" t="n">
        <x:v>11</x:v>
      </x:c>
      <x:c r="H64" s="67" t="n">
        <x:f>G64/F64</x:f>
        <x:v>0.55</x:v>
      </x:c>
      <x:c r="I64" s="68" t="n">
        <x:f>'Premissas'!$B$12</x:f>
        <x:v>0</x:v>
      </x:c>
      <x:c r="J64" s="68" t="n">
        <x:f>'Premissas'!$G$13</x:f>
        <x:v>1</x:v>
      </x:c>
      <x:c r="K64" s="69" t="n">
        <x:f>ROUND(MAX('Premissas'!$B$5,L64-N64),1)</x:f>
        <x:v>485.4</x:v>
      </x:c>
      <x:c r="L64" s="69" t="n">
        <x:f>ROUND(MAX('Premissas'!$B$5,MIN('Premissas'!$B$6,'Premissas'!$B$5+('Premissas'!$B$6-'Premissas'!$B$5)*(3*H64^2-2*H64^3)+I64*4*H64*(1-H64))),1)</x:f>
        <x:v>544.9</x:v>
      </x:c>
      <x:c r="M64" s="69" t="n">
        <x:f>ROUND(MIN('Premissas'!$B$6,L64+N64),1)</x:f>
        <x:v>604.4</x:v>
      </x:c>
      <x:c r="N64" s="69" t="n">
        <x:f>ROUND('Premissas'!$B$7*J64*SQRT(10/F64)*4*H64*(1-H64),1)</x:f>
        <x:v>59.5</x:v>
      </x:c>
      <x:c r="O64" s="66" t="str">
        <x:v>PROVISÓRIA</x:v>
      </x:c>
    </x:row>
    <x:row r="65">
      <x:c r="A65" s="56" t="str">
        <x:v>Escala 6º ano</x:v>
      </x:c>
      <x:c r="B65" s="56" t="str">
        <x:v>6º ano</x:v>
      </x:c>
      <x:c r="C65" s="56" t="str">
        <x:v>MODELO_6_ANO</x:v>
      </x:c>
      <x:c r="D65" s="56" t="str">
        <x:v>LC</x:v>
      </x:c>
      <x:c r="E65" s="56" t="str">
        <x:v>Linguagens</x:v>
      </x:c>
      <x:c r="F65" s="56" t="n">
        <x:v>20</x:v>
      </x:c>
      <x:c r="G65" s="56" t="n">
        <x:v>12</x:v>
      </x:c>
      <x:c r="H65" s="70" t="n">
        <x:f>G65/F65</x:f>
        <x:v>0.6</x:v>
      </x:c>
      <x:c r="I65" s="59" t="n">
        <x:f>'Premissas'!$B$12</x:f>
        <x:v>0</x:v>
      </x:c>
      <x:c r="J65" s="59" t="n">
        <x:f>'Premissas'!$G$13</x:f>
        <x:v>1</x:v>
      </x:c>
      <x:c r="K65" s="57" t="n">
        <x:f>ROUND(MAX('Premissas'!$B$5,L65-N65),1)</x:f>
        <x:v>531.1</x:v>
      </x:c>
      <x:c r="L65" s="57" t="n">
        <x:f>ROUND(MAX('Premissas'!$B$5,MIN('Premissas'!$B$6,'Premissas'!$B$5+('Premissas'!$B$6-'Premissas'!$B$5)*(3*H65^2-2*H65^3)+I65*4*H65*(1-H65))),1)</x:f>
        <x:v>588.8</x:v>
      </x:c>
      <x:c r="M65" s="57" t="n">
        <x:f>ROUND(MIN('Premissas'!$B$6,L65+N65),1)</x:f>
        <x:v>646.5</x:v>
      </x:c>
      <x:c r="N65" s="57" t="n">
        <x:f>ROUND('Premissas'!$B$7*J65*SQRT(10/F65)*4*H65*(1-H65),1)</x:f>
        <x:v>57.7</x:v>
      </x:c>
      <x:c r="O65" s="56" t="str">
        <x:v>PROVISÓRIA</x:v>
      </x:c>
    </x:row>
    <x:row r="66">
      <x:c r="A66" s="66" t="str">
        <x:v>Escala 6º ano</x:v>
      </x:c>
      <x:c r="B66" s="66" t="str">
        <x:v>6º ano</x:v>
      </x:c>
      <x:c r="C66" s="66" t="str">
        <x:v>MODELO_6_ANO</x:v>
      </x:c>
      <x:c r="D66" s="66" t="str">
        <x:v>LC</x:v>
      </x:c>
      <x:c r="E66" s="66" t="str">
        <x:v>Linguagens</x:v>
      </x:c>
      <x:c r="F66" s="66" t="n">
        <x:v>20</x:v>
      </x:c>
      <x:c r="G66" s="66" t="n">
        <x:v>13</x:v>
      </x:c>
      <x:c r="H66" s="67" t="n">
        <x:f>G66/F66</x:f>
        <x:v>0.65</x:v>
      </x:c>
      <x:c r="I66" s="68" t="n">
        <x:f>'Premissas'!$B$12</x:f>
        <x:v>0</x:v>
      </x:c>
      <x:c r="J66" s="68" t="n">
        <x:f>'Premissas'!$G$13</x:f>
        <x:v>1</x:v>
      </x:c>
      <x:c r="K66" s="69" t="n">
        <x:f>ROUND(MAX('Premissas'!$B$5,L66-N66),1)</x:f>
        <x:v>576.3</x:v>
      </x:c>
      <x:c r="L66" s="69" t="n">
        <x:f>ROUND(MAX('Premissas'!$B$5,MIN('Premissas'!$B$6,'Premissas'!$B$5+('Premissas'!$B$6-'Premissas'!$B$5)*(3*H66^2-2*H66^3)+I66*4*H66*(1-H66))),1)</x:f>
        <x:v>631</x:v>
      </x:c>
      <x:c r="M66" s="69" t="n">
        <x:f>ROUND(MIN('Premissas'!$B$6,L66+N66),1)</x:f>
        <x:v>685.7</x:v>
      </x:c>
      <x:c r="N66" s="69" t="n">
        <x:f>ROUND('Premissas'!$B$7*J66*SQRT(10/F66)*4*H66*(1-H66),1)</x:f>
        <x:v>54.7</x:v>
      </x:c>
      <x:c r="O66" s="66" t="str">
        <x:v>PROVISÓRIA</x:v>
      </x:c>
    </x:row>
    <x:row r="67">
      <x:c r="A67" s="56" t="str">
        <x:v>Escala 6º ano</x:v>
      </x:c>
      <x:c r="B67" s="56" t="str">
        <x:v>6º ano</x:v>
      </x:c>
      <x:c r="C67" s="56" t="str">
        <x:v>MODELO_6_ANO</x:v>
      </x:c>
      <x:c r="D67" s="56" t="str">
        <x:v>LC</x:v>
      </x:c>
      <x:c r="E67" s="56" t="str">
        <x:v>Linguagens</x:v>
      </x:c>
      <x:c r="F67" s="56" t="n">
        <x:v>20</x:v>
      </x:c>
      <x:c r="G67" s="56" t="n">
        <x:v>14</x:v>
      </x:c>
      <x:c r="H67" s="70" t="n">
        <x:f>G67/F67</x:f>
        <x:v>0.7</x:v>
      </x:c>
      <x:c r="I67" s="59" t="n">
        <x:f>'Premissas'!$B$12</x:f>
        <x:v>0</x:v>
      </x:c>
      <x:c r="J67" s="59" t="n">
        <x:f>'Premissas'!$G$13</x:f>
        <x:v>1</x:v>
      </x:c>
      <x:c r="K67" s="57" t="n">
        <x:f>ROUND(MAX('Premissas'!$B$5,L67-N67),1)</x:f>
        <x:v>619.9</x:v>
      </x:c>
      <x:c r="L67" s="57" t="n">
        <x:f>ROUND(MAX('Premissas'!$B$5,MIN('Premissas'!$B$6,'Premissas'!$B$5+('Premissas'!$B$6-'Premissas'!$B$5)*(3*H67^2-2*H67^3)+I67*4*H67*(1-H67))),1)</x:f>
        <x:v>670.4</x:v>
      </x:c>
      <x:c r="M67" s="57" t="n">
        <x:f>ROUND(MIN('Premissas'!$B$6,L67+N67),1)</x:f>
        <x:v>720.9</x:v>
      </x:c>
      <x:c r="N67" s="57" t="n">
        <x:f>ROUND('Premissas'!$B$7*J67*SQRT(10/F67)*4*H67*(1-H67),1)</x:f>
        <x:v>50.5</x:v>
      </x:c>
      <x:c r="O67" s="56" t="str">
        <x:v>PROVISÓRIA</x:v>
      </x:c>
    </x:row>
    <x:row r="68">
      <x:c r="A68" s="66" t="str">
        <x:v>Escala 6º ano</x:v>
      </x:c>
      <x:c r="B68" s="66" t="str">
        <x:v>6º ano</x:v>
      </x:c>
      <x:c r="C68" s="66" t="str">
        <x:v>MODELO_6_ANO</x:v>
      </x:c>
      <x:c r="D68" s="66" t="str">
        <x:v>LC</x:v>
      </x:c>
      <x:c r="E68" s="66" t="str">
        <x:v>Linguagens</x:v>
      </x:c>
      <x:c r="F68" s="66" t="n">
        <x:v>20</x:v>
      </x:c>
      <x:c r="G68" s="66" t="n">
        <x:v>15</x:v>
      </x:c>
      <x:c r="H68" s="67" t="n">
        <x:f>G68/F68</x:f>
        <x:v>0.75</x:v>
      </x:c>
      <x:c r="I68" s="68" t="n">
        <x:f>'Premissas'!$B$12</x:f>
        <x:v>0</x:v>
      </x:c>
      <x:c r="J68" s="68" t="n">
        <x:f>'Premissas'!$G$13</x:f>
        <x:v>1</x:v>
      </x:c>
      <x:c r="K68" s="69" t="n">
        <x:f>ROUND(MAX('Premissas'!$B$5,L68-N68),1)</x:f>
        <x:v>661.2</x:v>
      </x:c>
      <x:c r="L68" s="69" t="n">
        <x:f>ROUND(MAX('Premissas'!$B$5,MIN('Premissas'!$B$6,'Premissas'!$B$5+('Premissas'!$B$6-'Premissas'!$B$5)*(3*H68^2-2*H68^3)+I68*4*H68*(1-H68))),1)</x:f>
        <x:v>706.3</x:v>
      </x:c>
      <x:c r="M68" s="69" t="n">
        <x:f>ROUND(MIN('Premissas'!$B$6,L68+N68),1)</x:f>
        <x:v>751.4</x:v>
      </x:c>
      <x:c r="N68" s="69" t="n">
        <x:f>ROUND('Premissas'!$B$7*J68*SQRT(10/F68)*4*H68*(1-H68),1)</x:f>
        <x:v>45.1</x:v>
      </x:c>
      <x:c r="O68" s="66" t="str">
        <x:v>PROVISÓRIA</x:v>
      </x:c>
    </x:row>
    <x:row r="69">
      <x:c r="A69" s="56" t="str">
        <x:v>Escala 6º ano</x:v>
      </x:c>
      <x:c r="B69" s="56" t="str">
        <x:v>6º ano</x:v>
      </x:c>
      <x:c r="C69" s="56" t="str">
        <x:v>MODELO_6_ANO</x:v>
      </x:c>
      <x:c r="D69" s="56" t="str">
        <x:v>LC</x:v>
      </x:c>
      <x:c r="E69" s="56" t="str">
        <x:v>Linguagens</x:v>
      </x:c>
      <x:c r="F69" s="56" t="n">
        <x:v>20</x:v>
      </x:c>
      <x:c r="G69" s="56" t="n">
        <x:v>16</x:v>
      </x:c>
      <x:c r="H69" s="70" t="n">
        <x:f>G69/F69</x:f>
        <x:v>0.8</x:v>
      </x:c>
      <x:c r="I69" s="59" t="n">
        <x:f>'Premissas'!$B$12</x:f>
        <x:v>0</x:v>
      </x:c>
      <x:c r="J69" s="59" t="n">
        <x:f>'Premissas'!$G$13</x:f>
        <x:v>1</x:v>
      </x:c>
      <x:c r="K69" s="57" t="n">
        <x:f>ROUND(MAX('Premissas'!$B$5,L69-N69),1)</x:f>
        <x:v>699.1</x:v>
      </x:c>
      <x:c r="L69" s="57" t="n">
        <x:f>ROUND(MAX('Premissas'!$B$5,MIN('Premissas'!$B$6,'Premissas'!$B$5+('Premissas'!$B$6-'Premissas'!$B$5)*(3*H69^2-2*H69^3)+I69*4*H69*(1-H69))),1)</x:f>
        <x:v>737.6</x:v>
      </x:c>
      <x:c r="M69" s="57" t="n">
        <x:f>ROUND(MIN('Premissas'!$B$6,L69+N69),1)</x:f>
        <x:v>776.1</x:v>
      </x:c>
      <x:c r="N69" s="57" t="n">
        <x:f>ROUND('Premissas'!$B$7*J69*SQRT(10/F69)*4*H69*(1-H69),1)</x:f>
        <x:v>38.5</x:v>
      </x:c>
      <x:c r="O69" s="56" t="str">
        <x:v>PROVISÓRIA</x:v>
      </x:c>
    </x:row>
    <x:row r="70">
      <x:c r="A70" s="66" t="str">
        <x:v>Escala 6º ano</x:v>
      </x:c>
      <x:c r="B70" s="66" t="str">
        <x:v>6º ano</x:v>
      </x:c>
      <x:c r="C70" s="66" t="str">
        <x:v>MODELO_6_ANO</x:v>
      </x:c>
      <x:c r="D70" s="66" t="str">
        <x:v>LC</x:v>
      </x:c>
      <x:c r="E70" s="66" t="str">
        <x:v>Linguagens</x:v>
      </x:c>
      <x:c r="F70" s="66" t="n">
        <x:v>20</x:v>
      </x:c>
      <x:c r="G70" s="66" t="n">
        <x:v>17</x:v>
      </x:c>
      <x:c r="H70" s="67" t="n">
        <x:f>G70/F70</x:f>
        <x:v>0.85</x:v>
      </x:c>
      <x:c r="I70" s="68" t="n">
        <x:f>'Premissas'!$B$12</x:f>
        <x:v>0</x:v>
      </x:c>
      <x:c r="J70" s="68" t="n">
        <x:f>'Premissas'!$G$13</x:f>
        <x:v>1</x:v>
      </x:c>
      <x:c r="K70" s="69" t="n">
        <x:f>ROUND(MAX('Premissas'!$B$5,L70-N70),1)</x:f>
        <x:v>732.8</x:v>
      </x:c>
      <x:c r="L70" s="69" t="n">
        <x:f>ROUND(MAX('Premissas'!$B$5,MIN('Premissas'!$B$6,'Premissas'!$B$5+('Premissas'!$B$6-'Premissas'!$B$5)*(3*H70^2-2*H70^3)+I70*4*H70*(1-H70))),1)</x:f>
        <x:v>763.5</x:v>
      </x:c>
      <x:c r="M70" s="69" t="n">
        <x:f>ROUND(MIN('Premissas'!$B$6,L70+N70),1)</x:f>
        <x:v>794.2</x:v>
      </x:c>
      <x:c r="N70" s="69" t="n">
        <x:f>ROUND('Premissas'!$B$7*J70*SQRT(10/F70)*4*H70*(1-H70),1)</x:f>
        <x:v>30.7</x:v>
      </x:c>
      <x:c r="O70" s="66" t="str">
        <x:v>PROVISÓRIA</x:v>
      </x:c>
    </x:row>
    <x:row r="71">
      <x:c r="A71" s="56" t="str">
        <x:v>Escala 6º ano</x:v>
      </x:c>
      <x:c r="B71" s="56" t="str">
        <x:v>6º ano</x:v>
      </x:c>
      <x:c r="C71" s="56" t="str">
        <x:v>MODELO_6_ANO</x:v>
      </x:c>
      <x:c r="D71" s="56" t="str">
        <x:v>LC</x:v>
      </x:c>
      <x:c r="E71" s="56" t="str">
        <x:v>Linguagens</x:v>
      </x:c>
      <x:c r="F71" s="56" t="n">
        <x:v>20</x:v>
      </x:c>
      <x:c r="G71" s="56" t="n">
        <x:v>18</x:v>
      </x:c>
      <x:c r="H71" s="70" t="n">
        <x:f>G71/F71</x:f>
        <x:v>0.9</x:v>
      </x:c>
      <x:c r="I71" s="59" t="n">
        <x:f>'Premissas'!$B$12</x:f>
        <x:v>0</x:v>
      </x:c>
      <x:c r="J71" s="59" t="n">
        <x:f>'Premissas'!$G$13</x:f>
        <x:v>1</x:v>
      </x:c>
      <x:c r="K71" s="57" t="n">
        <x:f>ROUND(MAX('Premissas'!$B$5,L71-N71),1)</x:f>
        <x:v>761.6</x:v>
      </x:c>
      <x:c r="L71" s="57" t="n">
        <x:f>ROUND(MAX('Premissas'!$B$5,MIN('Premissas'!$B$6,'Premissas'!$B$5+('Premissas'!$B$6-'Premissas'!$B$5)*(3*H71^2-2*H71^3)+I71*4*H71*(1-H71))),1)</x:f>
        <x:v>783.2</x:v>
      </x:c>
      <x:c r="M71" s="57" t="n">
        <x:f>ROUND(MIN('Premissas'!$B$6,L71+N71),1)</x:f>
        <x:v>800</x:v>
      </x:c>
      <x:c r="N71" s="57" t="n">
        <x:f>ROUND('Premissas'!$B$7*J71*SQRT(10/F71)*4*H71*(1-H71),1)</x:f>
        <x:v>21.6</x:v>
      </x:c>
      <x:c r="O71" s="56" t="str">
        <x:v>PROVISÓRIA</x:v>
      </x:c>
    </x:row>
    <x:row r="72">
      <x:c r="A72" s="66" t="str">
        <x:v>Escala 6º ano</x:v>
      </x:c>
      <x:c r="B72" s="66" t="str">
        <x:v>6º ano</x:v>
      </x:c>
      <x:c r="C72" s="66" t="str">
        <x:v>MODELO_6_ANO</x:v>
      </x:c>
      <x:c r="D72" s="66" t="str">
        <x:v>LC</x:v>
      </x:c>
      <x:c r="E72" s="66" t="str">
        <x:v>Linguagens</x:v>
      </x:c>
      <x:c r="F72" s="66" t="n">
        <x:v>20</x:v>
      </x:c>
      <x:c r="G72" s="66" t="n">
        <x:v>19</x:v>
      </x:c>
      <x:c r="H72" s="67" t="n">
        <x:f>G72/F72</x:f>
        <x:v>0.95</x:v>
      </x:c>
      <x:c r="I72" s="68" t="n">
        <x:f>'Premissas'!$B$12</x:f>
        <x:v>0</x:v>
      </x:c>
      <x:c r="J72" s="68" t="n">
        <x:f>'Premissas'!$G$13</x:f>
        <x:v>1</x:v>
      </x:c>
      <x:c r="K72" s="69" t="n">
        <x:f>ROUND(MAX('Premissas'!$B$5,L72-N72),1)</x:f>
        <x:v>784.3</x:v>
      </x:c>
      <x:c r="L72" s="69" t="n">
        <x:f>ROUND(MAX('Premissas'!$B$5,MIN('Premissas'!$B$6,'Premissas'!$B$5+('Premissas'!$B$6-'Premissas'!$B$5)*(3*H72^2-2*H72^3)+I72*4*H72*(1-H72))),1)</x:f>
        <x:v>795.7</x:v>
      </x:c>
      <x:c r="M72" s="69" t="n">
        <x:f>ROUND(MIN('Premissas'!$B$6,L72+N72),1)</x:f>
        <x:v>800</x:v>
      </x:c>
      <x:c r="N72" s="69" t="n">
        <x:f>ROUND('Premissas'!$B$7*J72*SQRT(10/F72)*4*H72*(1-H72),1)</x:f>
        <x:v>11.4</x:v>
      </x:c>
      <x:c r="O72" s="66" t="str">
        <x:v>PROVISÓRIA</x:v>
      </x:c>
    </x:row>
    <x:row r="73">
      <x:c r="A73" s="56" t="str">
        <x:v>Escala 6º ano</x:v>
      </x:c>
      <x:c r="B73" s="56" t="str">
        <x:v>6º ano</x:v>
      </x:c>
      <x:c r="C73" s="56" t="str">
        <x:v>MODELO_6_ANO</x:v>
      </x:c>
      <x:c r="D73" s="56" t="str">
        <x:v>LC</x:v>
      </x:c>
      <x:c r="E73" s="56" t="str">
        <x:v>Linguagens</x:v>
      </x:c>
      <x:c r="F73" s="56" t="n">
        <x:v>20</x:v>
      </x:c>
      <x:c r="G73" s="56" t="n">
        <x:v>20</x:v>
      </x:c>
      <x:c r="H73" s="70" t="n">
        <x:f>G73/F73</x:f>
        <x:v>1</x:v>
      </x:c>
      <x:c r="I73" s="59" t="n">
        <x:f>'Premissas'!$B$12</x:f>
        <x:v>0</x:v>
      </x:c>
      <x:c r="J73" s="59" t="n">
        <x:f>'Premissas'!$G$13</x:f>
        <x:v>1</x:v>
      </x:c>
      <x:c r="K73" s="57" t="n">
        <x:f>ROUND(MAX('Premissas'!$B$5,L73-N73),1)</x:f>
        <x:v>800</x:v>
      </x:c>
      <x:c r="L73" s="57" t="n">
        <x:f>ROUND(MAX('Premissas'!$B$5,MIN('Premissas'!$B$6,'Premissas'!$B$5+('Premissas'!$B$6-'Premissas'!$B$5)*(3*H73^2-2*H73^3)+I73*4*H73*(1-H73))),1)</x:f>
        <x:v>800</x:v>
      </x:c>
      <x:c r="M73" s="57" t="n">
        <x:f>ROUND(MIN('Premissas'!$B$6,L73+N73),1)</x:f>
        <x:v>800</x:v>
      </x:c>
      <x:c r="N73" s="57" t="n">
        <x:f>ROUND('Premissas'!$B$7*J73*SQRT(10/F73)*4*H73*(1-H73),1)</x:f>
        <x:v>0</x:v>
      </x:c>
      <x:c r="O73" s="56" t="str">
        <x:v>PROVISÓRIA</x:v>
      </x:c>
    </x:row>
    <x:row r="74">
      <x:c r="A74" s="66" t="str">
        <x:v>Escala 6º ano</x:v>
      </x:c>
      <x:c r="B74" s="66" t="str">
        <x:v>6º ano</x:v>
      </x:c>
      <x:c r="C74" s="66" t="str">
        <x:v>MODELO_6_ANO</x:v>
      </x:c>
      <x:c r="D74" s="66" t="str">
        <x:v>MT</x:v>
      </x:c>
      <x:c r="E74" s="66" t="str">
        <x:v>Matemática</x:v>
      </x:c>
      <x:c r="F74" s="66" t="n">
        <x:v>10</x:v>
      </x:c>
      <x:c r="G74" s="66" t="n">
        <x:v>0</x:v>
      </x:c>
      <x:c r="H74" s="67" t="n">
        <x:f>G74/F74</x:f>
        <x:v>0</x:v>
      </x:c>
      <x:c r="I74" s="68" t="n">
        <x:f>'Premissas'!$B$12</x:f>
        <x:v>0</x:v>
      </x:c>
      <x:c r="J74" s="68" t="n">
        <x:f>'Premissas'!$G$14</x:f>
        <x:v>1</x:v>
      </x:c>
      <x:c r="K74" s="69" t="n">
        <x:f>ROUND(MAX('Premissas'!$B$5,L74-N74),1)</x:f>
        <x:v>200</x:v>
      </x:c>
      <x:c r="L74" s="69" t="n">
        <x:f>ROUND(MAX('Premissas'!$B$5,MIN('Premissas'!$B$6,'Premissas'!$B$5+('Premissas'!$B$6-'Premissas'!$B$5)*(3*H74^2-2*H74^3)+I74*4*H74*(1-H74))),1)</x:f>
        <x:v>200</x:v>
      </x:c>
      <x:c r="M74" s="69" t="n">
        <x:f>ROUND(MIN('Premissas'!$B$6,L74+N74),1)</x:f>
        <x:v>200</x:v>
      </x:c>
      <x:c r="N74" s="69" t="n">
        <x:f>ROUND('Premissas'!$B$7*J74*SQRT(10/F74)*4*H74*(1-H74),1)</x:f>
        <x:v>0</x:v>
      </x:c>
      <x:c r="O74" s="66" t="str">
        <x:v>PROVISÓRIA</x:v>
      </x:c>
    </x:row>
    <x:row r="75">
      <x:c r="A75" s="56" t="str">
        <x:v>Escala 6º ano</x:v>
      </x:c>
      <x:c r="B75" s="56" t="str">
        <x:v>6º ano</x:v>
      </x:c>
      <x:c r="C75" s="56" t="str">
        <x:v>MODELO_6_ANO</x:v>
      </x:c>
      <x:c r="D75" s="56" t="str">
        <x:v>MT</x:v>
      </x:c>
      <x:c r="E75" s="56" t="str">
        <x:v>Matemática</x:v>
      </x:c>
      <x:c r="F75" s="56" t="n">
        <x:v>10</x:v>
      </x:c>
      <x:c r="G75" s="56" t="n">
        <x:v>1</x:v>
      </x:c>
      <x:c r="H75" s="70" t="n">
        <x:f>G75/F75</x:f>
        <x:v>0.1</x:v>
      </x:c>
      <x:c r="I75" s="59" t="n">
        <x:f>'Premissas'!$B$12</x:f>
        <x:v>0</x:v>
      </x:c>
      <x:c r="J75" s="59" t="n">
        <x:f>'Premissas'!$G$14</x:f>
        <x:v>1</x:v>
      </x:c>
      <x:c r="K75" s="57" t="n">
        <x:f>ROUND(MAX('Premissas'!$B$5,L75-N75),1)</x:f>
        <x:v>200</x:v>
      </x:c>
      <x:c r="L75" s="57" t="n">
        <x:f>ROUND(MAX('Premissas'!$B$5,MIN('Premissas'!$B$6,'Premissas'!$B$5+('Premissas'!$B$6-'Premissas'!$B$5)*(3*H75^2-2*H75^3)+I75*4*H75*(1-H75))),1)</x:f>
        <x:v>216.8</x:v>
      </x:c>
      <x:c r="M75" s="57" t="n">
        <x:f>ROUND(MIN('Premissas'!$B$6,L75+N75),1)</x:f>
        <x:v>247.4</x:v>
      </x:c>
      <x:c r="N75" s="57" t="n">
        <x:f>ROUND('Premissas'!$B$7*J75*SQRT(10/F75)*4*H75*(1-H75),1)</x:f>
        <x:v>30.6</x:v>
      </x:c>
      <x:c r="O75" s="56" t="str">
        <x:v>PROVISÓRIA</x:v>
      </x:c>
    </x:row>
    <x:row r="76">
      <x:c r="A76" s="66" t="str">
        <x:v>Escala 6º ano</x:v>
      </x:c>
      <x:c r="B76" s="66" t="str">
        <x:v>6º ano</x:v>
      </x:c>
      <x:c r="C76" s="66" t="str">
        <x:v>MODELO_6_ANO</x:v>
      </x:c>
      <x:c r="D76" s="66" t="str">
        <x:v>MT</x:v>
      </x:c>
      <x:c r="E76" s="66" t="str">
        <x:v>Matemática</x:v>
      </x:c>
      <x:c r="F76" s="66" t="n">
        <x:v>10</x:v>
      </x:c>
      <x:c r="G76" s="66" t="n">
        <x:v>2</x:v>
      </x:c>
      <x:c r="H76" s="67" t="n">
        <x:f>G76/F76</x:f>
        <x:v>0.2</x:v>
      </x:c>
      <x:c r="I76" s="68" t="n">
        <x:f>'Premissas'!$B$12</x:f>
        <x:v>0</x:v>
      </x:c>
      <x:c r="J76" s="68" t="n">
        <x:f>'Premissas'!$G$14</x:f>
        <x:v>1</x:v>
      </x:c>
      <x:c r="K76" s="69" t="n">
        <x:f>ROUND(MAX('Premissas'!$B$5,L76-N76),1)</x:f>
        <x:v>208</x:v>
      </x:c>
      <x:c r="L76" s="69" t="n">
        <x:f>ROUND(MAX('Premissas'!$B$5,MIN('Premissas'!$B$6,'Premissas'!$B$5+('Premissas'!$B$6-'Premissas'!$B$5)*(3*H76^2-2*H76^3)+I76*4*H76*(1-H76))),1)</x:f>
        <x:v>262.4</x:v>
      </x:c>
      <x:c r="M76" s="69" t="n">
        <x:f>ROUND(MIN('Premissas'!$B$6,L76+N76),1)</x:f>
        <x:v>316.8</x:v>
      </x:c>
      <x:c r="N76" s="69" t="n">
        <x:f>ROUND('Premissas'!$B$7*J76*SQRT(10/F76)*4*H76*(1-H76),1)</x:f>
        <x:v>54.4</x:v>
      </x:c>
      <x:c r="O76" s="66" t="str">
        <x:v>PROVISÓRIA</x:v>
      </x:c>
    </x:row>
    <x:row r="77">
      <x:c r="A77" s="56" t="str">
        <x:v>Escala 6º ano</x:v>
      </x:c>
      <x:c r="B77" s="56" t="str">
        <x:v>6º ano</x:v>
      </x:c>
      <x:c r="C77" s="56" t="str">
        <x:v>MODELO_6_ANO</x:v>
      </x:c>
      <x:c r="D77" s="56" t="str">
        <x:v>MT</x:v>
      </x:c>
      <x:c r="E77" s="56" t="str">
        <x:v>Matemática</x:v>
      </x:c>
      <x:c r="F77" s="56" t="n">
        <x:v>10</x:v>
      </x:c>
      <x:c r="G77" s="56" t="n">
        <x:v>3</x:v>
      </x:c>
      <x:c r="H77" s="70" t="n">
        <x:f>G77/F77</x:f>
        <x:v>0.3</x:v>
      </x:c>
      <x:c r="I77" s="59" t="n">
        <x:f>'Premissas'!$B$12</x:f>
        <x:v>0</x:v>
      </x:c>
      <x:c r="J77" s="59" t="n">
        <x:f>'Premissas'!$G$14</x:f>
        <x:v>1</x:v>
      </x:c>
      <x:c r="K77" s="57" t="n">
        <x:f>ROUND(MAX('Premissas'!$B$5,L77-N77),1)</x:f>
        <x:v>258.2</x:v>
      </x:c>
      <x:c r="L77" s="57" t="n">
        <x:f>ROUND(MAX('Premissas'!$B$5,MIN('Premissas'!$B$6,'Premissas'!$B$5+('Premissas'!$B$6-'Premissas'!$B$5)*(3*H77^2-2*H77^3)+I77*4*H77*(1-H77))),1)</x:f>
        <x:v>329.6</x:v>
      </x:c>
      <x:c r="M77" s="57" t="n">
        <x:f>ROUND(MIN('Premissas'!$B$6,L77+N77),1)</x:f>
        <x:v>401</x:v>
      </x:c>
      <x:c r="N77" s="57" t="n">
        <x:f>ROUND('Premissas'!$B$7*J77*SQRT(10/F77)*4*H77*(1-H77),1)</x:f>
        <x:v>71.4</x:v>
      </x:c>
      <x:c r="O77" s="56" t="str">
        <x:v>PROVISÓRIA</x:v>
      </x:c>
    </x:row>
    <x:row r="78">
      <x:c r="A78" s="66" t="str">
        <x:v>Escala 6º ano</x:v>
      </x:c>
      <x:c r="B78" s="66" t="str">
        <x:v>6º ano</x:v>
      </x:c>
      <x:c r="C78" s="66" t="str">
        <x:v>MODELO_6_ANO</x:v>
      </x:c>
      <x:c r="D78" s="66" t="str">
        <x:v>MT</x:v>
      </x:c>
      <x:c r="E78" s="66" t="str">
        <x:v>Matemática</x:v>
      </x:c>
      <x:c r="F78" s="66" t="n">
        <x:v>10</x:v>
      </x:c>
      <x:c r="G78" s="66" t="n">
        <x:v>4</x:v>
      </x:c>
      <x:c r="H78" s="67" t="n">
        <x:f>G78/F78</x:f>
        <x:v>0.4</x:v>
      </x:c>
      <x:c r="I78" s="68" t="n">
        <x:f>'Premissas'!$B$12</x:f>
        <x:v>0</x:v>
      </x:c>
      <x:c r="J78" s="68" t="n">
        <x:f>'Premissas'!$G$14</x:f>
        <x:v>1</x:v>
      </x:c>
      <x:c r="K78" s="69" t="n">
        <x:f>ROUND(MAX('Premissas'!$B$5,L78-N78),1)</x:f>
        <x:v>329.6</x:v>
      </x:c>
      <x:c r="L78" s="69" t="n">
        <x:f>ROUND(MAX('Premissas'!$B$5,MIN('Premissas'!$B$6,'Premissas'!$B$5+('Premissas'!$B$6-'Premissas'!$B$5)*(3*H78^2-2*H78^3)+I78*4*H78*(1-H78))),1)</x:f>
        <x:v>411.2</x:v>
      </x:c>
      <x:c r="M78" s="69" t="n">
        <x:f>ROUND(MIN('Premissas'!$B$6,L78+N78),1)</x:f>
        <x:v>492.8</x:v>
      </x:c>
      <x:c r="N78" s="69" t="n">
        <x:f>ROUND('Premissas'!$B$7*J78*SQRT(10/F78)*4*H78*(1-H78),1)</x:f>
        <x:v>81.6</x:v>
      </x:c>
      <x:c r="O78" s="66" t="str">
        <x:v>PROVISÓRIA</x:v>
      </x:c>
    </x:row>
    <x:row r="79">
      <x:c r="A79" s="56" t="str">
        <x:v>Escala 6º ano</x:v>
      </x:c>
      <x:c r="B79" s="56" t="str">
        <x:v>6º ano</x:v>
      </x:c>
      <x:c r="C79" s="56" t="str">
        <x:v>MODELO_6_ANO</x:v>
      </x:c>
      <x:c r="D79" s="56" t="str">
        <x:v>MT</x:v>
      </x:c>
      <x:c r="E79" s="56" t="str">
        <x:v>Matemática</x:v>
      </x:c>
      <x:c r="F79" s="56" t="n">
        <x:v>10</x:v>
      </x:c>
      <x:c r="G79" s="56" t="n">
        <x:v>5</x:v>
      </x:c>
      <x:c r="H79" s="70" t="n">
        <x:f>G79/F79</x:f>
        <x:v>0.5</x:v>
      </x:c>
      <x:c r="I79" s="59" t="n">
        <x:f>'Premissas'!$B$12</x:f>
        <x:v>0</x:v>
      </x:c>
      <x:c r="J79" s="59" t="n">
        <x:f>'Premissas'!$G$14</x:f>
        <x:v>1</x:v>
      </x:c>
      <x:c r="K79" s="57" t="n">
        <x:f>ROUND(MAX('Premissas'!$B$5,L79-N79),1)</x:f>
        <x:v>415</x:v>
      </x:c>
      <x:c r="L79" s="57" t="n">
        <x:f>ROUND(MAX('Premissas'!$B$5,MIN('Premissas'!$B$6,'Premissas'!$B$5+('Premissas'!$B$6-'Premissas'!$B$5)*(3*H79^2-2*H79^3)+I79*4*H79*(1-H79))),1)</x:f>
        <x:v>500</x:v>
      </x:c>
      <x:c r="M79" s="57" t="n">
        <x:f>ROUND(MIN('Premissas'!$B$6,L79+N79),1)</x:f>
        <x:v>585</x:v>
      </x:c>
      <x:c r="N79" s="57" t="n">
        <x:f>ROUND('Premissas'!$B$7*J79*SQRT(10/F79)*4*H79*(1-H79),1)</x:f>
        <x:v>85</x:v>
      </x:c>
      <x:c r="O79" s="56" t="str">
        <x:v>PROVISÓRIA</x:v>
      </x:c>
    </x:row>
    <x:row r="80">
      <x:c r="A80" s="66" t="str">
        <x:v>Escala 6º ano</x:v>
      </x:c>
      <x:c r="B80" s="66" t="str">
        <x:v>6º ano</x:v>
      </x:c>
      <x:c r="C80" s="66" t="str">
        <x:v>MODELO_6_ANO</x:v>
      </x:c>
      <x:c r="D80" s="66" t="str">
        <x:v>MT</x:v>
      </x:c>
      <x:c r="E80" s="66" t="str">
        <x:v>Matemática</x:v>
      </x:c>
      <x:c r="F80" s="66" t="n">
        <x:v>10</x:v>
      </x:c>
      <x:c r="G80" s="66" t="n">
        <x:v>6</x:v>
      </x:c>
      <x:c r="H80" s="67" t="n">
        <x:f>G80/F80</x:f>
        <x:v>0.6</x:v>
      </x:c>
      <x:c r="I80" s="68" t="n">
        <x:f>'Premissas'!$B$12</x:f>
        <x:v>0</x:v>
      </x:c>
      <x:c r="J80" s="68" t="n">
        <x:f>'Premissas'!$G$14</x:f>
        <x:v>1</x:v>
      </x:c>
      <x:c r="K80" s="69" t="n">
        <x:f>ROUND(MAX('Premissas'!$B$5,L80-N80),1)</x:f>
        <x:v>507.2</x:v>
      </x:c>
      <x:c r="L80" s="69" t="n">
        <x:f>ROUND(MAX('Premissas'!$B$5,MIN('Premissas'!$B$6,'Premissas'!$B$5+('Premissas'!$B$6-'Premissas'!$B$5)*(3*H80^2-2*H80^3)+I80*4*H80*(1-H80))),1)</x:f>
        <x:v>588.8</x:v>
      </x:c>
      <x:c r="M80" s="69" t="n">
        <x:f>ROUND(MIN('Premissas'!$B$6,L80+N80),1)</x:f>
        <x:v>670.4</x:v>
      </x:c>
      <x:c r="N80" s="69" t="n">
        <x:f>ROUND('Premissas'!$B$7*J80*SQRT(10/F80)*4*H80*(1-H80),1)</x:f>
        <x:v>81.6</x:v>
      </x:c>
      <x:c r="O80" s="66" t="str">
        <x:v>PROVISÓRIA</x:v>
      </x:c>
    </x:row>
    <x:row r="81">
      <x:c r="A81" s="56" t="str">
        <x:v>Escala 6º ano</x:v>
      </x:c>
      <x:c r="B81" s="56" t="str">
        <x:v>6º ano</x:v>
      </x:c>
      <x:c r="C81" s="56" t="str">
        <x:v>MODELO_6_ANO</x:v>
      </x:c>
      <x:c r="D81" s="56" t="str">
        <x:v>MT</x:v>
      </x:c>
      <x:c r="E81" s="56" t="str">
        <x:v>Matemática</x:v>
      </x:c>
      <x:c r="F81" s="56" t="n">
        <x:v>10</x:v>
      </x:c>
      <x:c r="G81" s="56" t="n">
        <x:v>7</x:v>
      </x:c>
      <x:c r="H81" s="70" t="n">
        <x:f>G81/F81</x:f>
        <x:v>0.7</x:v>
      </x:c>
      <x:c r="I81" s="59" t="n">
        <x:f>'Premissas'!$B$12</x:f>
        <x:v>0</x:v>
      </x:c>
      <x:c r="J81" s="59" t="n">
        <x:f>'Premissas'!$G$14</x:f>
        <x:v>1</x:v>
      </x:c>
      <x:c r="K81" s="57" t="n">
        <x:f>ROUND(MAX('Premissas'!$B$5,L81-N81),1)</x:f>
        <x:v>599</x:v>
      </x:c>
      <x:c r="L81" s="57" t="n">
        <x:f>ROUND(MAX('Premissas'!$B$5,MIN('Premissas'!$B$6,'Premissas'!$B$5+('Premissas'!$B$6-'Premissas'!$B$5)*(3*H81^2-2*H81^3)+I81*4*H81*(1-H81))),1)</x:f>
        <x:v>670.4</x:v>
      </x:c>
      <x:c r="M81" s="57" t="n">
        <x:f>ROUND(MIN('Premissas'!$B$6,L81+N81),1)</x:f>
        <x:v>741.8</x:v>
      </x:c>
      <x:c r="N81" s="57" t="n">
        <x:f>ROUND('Premissas'!$B$7*J81*SQRT(10/F81)*4*H81*(1-H81),1)</x:f>
        <x:v>71.4</x:v>
      </x:c>
      <x:c r="O81" s="56" t="str">
        <x:v>PROVISÓRIA</x:v>
      </x:c>
    </x:row>
    <x:row r="82">
      <x:c r="A82" s="66" t="str">
        <x:v>Escala 6º ano</x:v>
      </x:c>
      <x:c r="B82" s="66" t="str">
        <x:v>6º ano</x:v>
      </x:c>
      <x:c r="C82" s="66" t="str">
        <x:v>MODELO_6_ANO</x:v>
      </x:c>
      <x:c r="D82" s="66" t="str">
        <x:v>MT</x:v>
      </x:c>
      <x:c r="E82" s="66" t="str">
        <x:v>Matemática</x:v>
      </x:c>
      <x:c r="F82" s="66" t="n">
        <x:v>10</x:v>
      </x:c>
      <x:c r="G82" s="66" t="n">
        <x:v>8</x:v>
      </x:c>
      <x:c r="H82" s="67" t="n">
        <x:f>G82/F82</x:f>
        <x:v>0.8</x:v>
      </x:c>
      <x:c r="I82" s="68" t="n">
        <x:f>'Premissas'!$B$12</x:f>
        <x:v>0</x:v>
      </x:c>
      <x:c r="J82" s="68" t="n">
        <x:f>'Premissas'!$G$14</x:f>
        <x:v>1</x:v>
      </x:c>
      <x:c r="K82" s="69" t="n">
        <x:f>ROUND(MAX('Premissas'!$B$5,L82-N82),1)</x:f>
        <x:v>683.2</x:v>
      </x:c>
      <x:c r="L82" s="69" t="n">
        <x:f>ROUND(MAX('Premissas'!$B$5,MIN('Premissas'!$B$6,'Premissas'!$B$5+('Premissas'!$B$6-'Premissas'!$B$5)*(3*H82^2-2*H82^3)+I82*4*H82*(1-H82))),1)</x:f>
        <x:v>737.6</x:v>
      </x:c>
      <x:c r="M82" s="69" t="n">
        <x:f>ROUND(MIN('Premissas'!$B$6,L82+N82),1)</x:f>
        <x:v>792</x:v>
      </x:c>
      <x:c r="N82" s="69" t="n">
        <x:f>ROUND('Premissas'!$B$7*J82*SQRT(10/F82)*4*H82*(1-H82),1)</x:f>
        <x:v>54.4</x:v>
      </x:c>
      <x:c r="O82" s="66" t="str">
        <x:v>PROVISÓRIA</x:v>
      </x:c>
    </x:row>
    <x:row r="83">
      <x:c r="A83" s="56" t="str">
        <x:v>Escala 6º ano</x:v>
      </x:c>
      <x:c r="B83" s="56" t="str">
        <x:v>6º ano</x:v>
      </x:c>
      <x:c r="C83" s="56" t="str">
        <x:v>MODELO_6_ANO</x:v>
      </x:c>
      <x:c r="D83" s="56" t="str">
        <x:v>MT</x:v>
      </x:c>
      <x:c r="E83" s="56" t="str">
        <x:v>Matemática</x:v>
      </x:c>
      <x:c r="F83" s="56" t="n">
        <x:v>10</x:v>
      </x:c>
      <x:c r="G83" s="56" t="n">
        <x:v>9</x:v>
      </x:c>
      <x:c r="H83" s="70" t="n">
        <x:f>G83/F83</x:f>
        <x:v>0.9</x:v>
      </x:c>
      <x:c r="I83" s="59" t="n">
        <x:f>'Premissas'!$B$12</x:f>
        <x:v>0</x:v>
      </x:c>
      <x:c r="J83" s="59" t="n">
        <x:f>'Premissas'!$G$14</x:f>
        <x:v>1</x:v>
      </x:c>
      <x:c r="K83" s="57" t="n">
        <x:f>ROUND(MAX('Premissas'!$B$5,L83-N83),1)</x:f>
        <x:v>752.6</x:v>
      </x:c>
      <x:c r="L83" s="57" t="n">
        <x:f>ROUND(MAX('Premissas'!$B$5,MIN('Premissas'!$B$6,'Premissas'!$B$5+('Premissas'!$B$6-'Premissas'!$B$5)*(3*H83^2-2*H83^3)+I83*4*H83*(1-H83))),1)</x:f>
        <x:v>783.2</x:v>
      </x:c>
      <x:c r="M83" s="57" t="n">
        <x:f>ROUND(MIN('Premissas'!$B$6,L83+N83),1)</x:f>
        <x:v>800</x:v>
      </x:c>
      <x:c r="N83" s="57" t="n">
        <x:f>ROUND('Premissas'!$B$7*J83*SQRT(10/F83)*4*H83*(1-H83),1)</x:f>
        <x:v>30.6</x:v>
      </x:c>
      <x:c r="O83" s="56" t="str">
        <x:v>PROVISÓRIA</x:v>
      </x:c>
    </x:row>
    <x:row r="84">
      <x:c r="A84" s="66" t="str">
        <x:v>Escala 6º ano</x:v>
      </x:c>
      <x:c r="B84" s="66" t="str">
        <x:v>6º ano</x:v>
      </x:c>
      <x:c r="C84" s="66" t="str">
        <x:v>MODELO_6_ANO</x:v>
      </x:c>
      <x:c r="D84" s="66" t="str">
        <x:v>MT</x:v>
      </x:c>
      <x:c r="E84" s="66" t="str">
        <x:v>Matemática</x:v>
      </x:c>
      <x:c r="F84" s="66" t="n">
        <x:v>10</x:v>
      </x:c>
      <x:c r="G84" s="66" t="n">
        <x:v>10</x:v>
      </x:c>
      <x:c r="H84" s="67" t="n">
        <x:f>G84/F84</x:f>
        <x:v>1</x:v>
      </x:c>
      <x:c r="I84" s="68" t="n">
        <x:f>'Premissas'!$B$12</x:f>
        <x:v>0</x:v>
      </x:c>
      <x:c r="J84" s="68" t="n">
        <x:f>'Premissas'!$G$14</x:f>
        <x:v>1</x:v>
      </x:c>
      <x:c r="K84" s="69" t="n">
        <x:f>ROUND(MAX('Premissas'!$B$5,L84-N84),1)</x:f>
        <x:v>800</x:v>
      </x:c>
      <x:c r="L84" s="69" t="n">
        <x:f>ROUND(MAX('Premissas'!$B$5,MIN('Premissas'!$B$6,'Premissas'!$B$5+('Premissas'!$B$6-'Premissas'!$B$5)*(3*H84^2-2*H84^3)+I84*4*H84*(1-H84))),1)</x:f>
        <x:v>800</x:v>
      </x:c>
      <x:c r="M84" s="69" t="n">
        <x:f>ROUND(MIN('Premissas'!$B$6,L84+N84),1)</x:f>
        <x:v>800</x:v>
      </x:c>
      <x:c r="N84" s="69" t="n">
        <x:f>ROUND('Premissas'!$B$7*J84*SQRT(10/F84)*4*H84*(1-H84),1)</x:f>
        <x:v>0</x:v>
      </x:c>
      <x:c r="O84" s="66" t="str">
        <x:v>PROVISÓRIA</x:v>
      </x:c>
    </x:row>
    <x:row r="85">
      <x:c r="A85" s="56" t="str">
        <x:v>Escala 6º ano</x:v>
      </x:c>
      <x:c r="B85" s="56" t="str">
        <x:v>6º ano</x:v>
      </x:c>
      <x:c r="C85" s="56" t="str">
        <x:v>MODELO_6_ANO</x:v>
      </x:c>
      <x:c r="D85" s="56" t="str">
        <x:v>CH</x:v>
      </x:c>
      <x:c r="E85" s="56" t="str">
        <x:v>Ciências Humanas</x:v>
      </x:c>
      <x:c r="F85" s="56" t="n">
        <x:v>15</x:v>
      </x:c>
      <x:c r="G85" s="56" t="n">
        <x:v>0</x:v>
      </x:c>
      <x:c r="H85" s="70" t="n">
        <x:f>G85/F85</x:f>
        <x:v>0</x:v>
      </x:c>
      <x:c r="I85" s="59" t="n">
        <x:f>'Premissas'!$B$12</x:f>
        <x:v>0</x:v>
      </x:c>
      <x:c r="J85" s="59" t="n">
        <x:f>'Premissas'!$G$15</x:f>
        <x:v>1</x:v>
      </x:c>
      <x:c r="K85" s="57" t="n">
        <x:f>ROUND(MAX('Premissas'!$B$5,L85-N85),1)</x:f>
        <x:v>200</x:v>
      </x:c>
      <x:c r="L85" s="57" t="n">
        <x:f>ROUND(MAX('Premissas'!$B$5,MIN('Premissas'!$B$6,'Premissas'!$B$5+('Premissas'!$B$6-'Premissas'!$B$5)*(3*H85^2-2*H85^3)+I85*4*H85*(1-H85))),1)</x:f>
        <x:v>200</x:v>
      </x:c>
      <x:c r="M85" s="57" t="n">
        <x:f>ROUND(MIN('Premissas'!$B$6,L85+N85),1)</x:f>
        <x:v>200</x:v>
      </x:c>
      <x:c r="N85" s="57" t="n">
        <x:f>ROUND('Premissas'!$B$7*J85*SQRT(10/F85)*4*H85*(1-H85),1)</x:f>
        <x:v>0</x:v>
      </x:c>
      <x:c r="O85" s="56" t="str">
        <x:v>PROVISÓRIA</x:v>
      </x:c>
    </x:row>
    <x:row r="86">
      <x:c r="A86" s="66" t="str">
        <x:v>Escala 6º ano</x:v>
      </x:c>
      <x:c r="B86" s="66" t="str">
        <x:v>6º ano</x:v>
      </x:c>
      <x:c r="C86" s="66" t="str">
        <x:v>MODELO_6_ANO</x:v>
      </x:c>
      <x:c r="D86" s="66" t="str">
        <x:v>CH</x:v>
      </x:c>
      <x:c r="E86" s="66" t="str">
        <x:v>Ciências Humanas</x:v>
      </x:c>
      <x:c r="F86" s="66" t="n">
        <x:v>15</x:v>
      </x:c>
      <x:c r="G86" s="66" t="n">
        <x:v>1</x:v>
      </x:c>
      <x:c r="H86" s="67" t="n">
        <x:f>G86/F86</x:f>
        <x:v>0.06666666666666667</x:v>
      </x:c>
      <x:c r="I86" s="68" t="n">
        <x:f>'Premissas'!$B$12</x:f>
        <x:v>0</x:v>
      </x:c>
      <x:c r="J86" s="68" t="n">
        <x:f>'Premissas'!$G$15</x:f>
        <x:v>1</x:v>
      </x:c>
      <x:c r="K86" s="69" t="n">
        <x:f>ROUND(MAX('Premissas'!$B$5,L86-N86),1)</x:f>
        <x:v>200</x:v>
      </x:c>
      <x:c r="L86" s="69" t="n">
        <x:f>ROUND(MAX('Premissas'!$B$5,MIN('Premissas'!$B$6,'Premissas'!$B$5+('Premissas'!$B$6-'Premissas'!$B$5)*(3*H86^2-2*H86^3)+I86*4*H86*(1-H86))),1)</x:f>
        <x:v>207.6</x:v>
      </x:c>
      <x:c r="M86" s="69" t="n">
        <x:f>ROUND(MIN('Premissas'!$B$6,L86+N86),1)</x:f>
        <x:v>224.9</x:v>
      </x:c>
      <x:c r="N86" s="69" t="n">
        <x:f>ROUND('Premissas'!$B$7*J86*SQRT(10/F86)*4*H86*(1-H86),1)</x:f>
        <x:v>17.3</x:v>
      </x:c>
      <x:c r="O86" s="66" t="str">
        <x:v>PROVISÓRIA</x:v>
      </x:c>
    </x:row>
    <x:row r="87">
      <x:c r="A87" s="56" t="str">
        <x:v>Escala 6º ano</x:v>
      </x:c>
      <x:c r="B87" s="56" t="str">
        <x:v>6º ano</x:v>
      </x:c>
      <x:c r="C87" s="56" t="str">
        <x:v>MODELO_6_ANO</x:v>
      </x:c>
      <x:c r="D87" s="56" t="str">
        <x:v>CH</x:v>
      </x:c>
      <x:c r="E87" s="56" t="str">
        <x:v>Ciências Humanas</x:v>
      </x:c>
      <x:c r="F87" s="56" t="n">
        <x:v>15</x:v>
      </x:c>
      <x:c r="G87" s="56" t="n">
        <x:v>2</x:v>
      </x:c>
      <x:c r="H87" s="70" t="n">
        <x:f>G87/F87</x:f>
        <x:v>0.13333333333333333</x:v>
      </x:c>
      <x:c r="I87" s="59" t="n">
        <x:f>'Premissas'!$B$12</x:f>
        <x:v>0</x:v>
      </x:c>
      <x:c r="J87" s="59" t="n">
        <x:f>'Premissas'!$G$15</x:f>
        <x:v>1</x:v>
      </x:c>
      <x:c r="K87" s="57" t="n">
        <x:f>ROUND(MAX('Premissas'!$B$5,L87-N87),1)</x:f>
        <x:v>200</x:v>
      </x:c>
      <x:c r="L87" s="57" t="n">
        <x:f>ROUND(MAX('Premissas'!$B$5,MIN('Premissas'!$B$6,'Premissas'!$B$5+('Premissas'!$B$6-'Premissas'!$B$5)*(3*H87^2-2*H87^3)+I87*4*H87*(1-H87))),1)</x:f>
        <x:v>229.2</x:v>
      </x:c>
      <x:c r="M87" s="57" t="n">
        <x:f>ROUND(MIN('Premissas'!$B$6,L87+N87),1)</x:f>
        <x:v>261.3</x:v>
      </x:c>
      <x:c r="N87" s="57" t="n">
        <x:f>ROUND('Premissas'!$B$7*J87*SQRT(10/F87)*4*H87*(1-H87),1)</x:f>
        <x:v>32.1</x:v>
      </x:c>
      <x:c r="O87" s="56" t="str">
        <x:v>PROVISÓRIA</x:v>
      </x:c>
    </x:row>
    <x:row r="88">
      <x:c r="A88" s="66" t="str">
        <x:v>Escala 6º ano</x:v>
      </x:c>
      <x:c r="B88" s="66" t="str">
        <x:v>6º ano</x:v>
      </x:c>
      <x:c r="C88" s="66" t="str">
        <x:v>MODELO_6_ANO</x:v>
      </x:c>
      <x:c r="D88" s="66" t="str">
        <x:v>CH</x:v>
      </x:c>
      <x:c r="E88" s="66" t="str">
        <x:v>Ciências Humanas</x:v>
      </x:c>
      <x:c r="F88" s="66" t="n">
        <x:v>15</x:v>
      </x:c>
      <x:c r="G88" s="66" t="n">
        <x:v>3</x:v>
      </x:c>
      <x:c r="H88" s="67" t="n">
        <x:f>G88/F88</x:f>
        <x:v>0.2</x:v>
      </x:c>
      <x:c r="I88" s="68" t="n">
        <x:f>'Premissas'!$B$12</x:f>
        <x:v>0</x:v>
      </x:c>
      <x:c r="J88" s="68" t="n">
        <x:f>'Premissas'!$G$15</x:f>
        <x:v>1</x:v>
      </x:c>
      <x:c r="K88" s="69" t="n">
        <x:f>ROUND(MAX('Premissas'!$B$5,L88-N88),1)</x:f>
        <x:v>218</x:v>
      </x:c>
      <x:c r="L88" s="69" t="n">
        <x:f>ROUND(MAX('Premissas'!$B$5,MIN('Premissas'!$B$6,'Premissas'!$B$5+('Premissas'!$B$6-'Premissas'!$B$5)*(3*H88^2-2*H88^3)+I88*4*H88*(1-H88))),1)</x:f>
        <x:v>262.4</x:v>
      </x:c>
      <x:c r="M88" s="69" t="n">
        <x:f>ROUND(MIN('Premissas'!$B$6,L88+N88),1)</x:f>
        <x:v>306.8</x:v>
      </x:c>
      <x:c r="N88" s="69" t="n">
        <x:f>ROUND('Premissas'!$B$7*J88*SQRT(10/F88)*4*H88*(1-H88),1)</x:f>
        <x:v>44.4</x:v>
      </x:c>
      <x:c r="O88" s="66" t="str">
        <x:v>PROVISÓRIA</x:v>
      </x:c>
    </x:row>
    <x:row r="89">
      <x:c r="A89" s="56" t="str">
        <x:v>Escala 6º ano</x:v>
      </x:c>
      <x:c r="B89" s="56" t="str">
        <x:v>6º ano</x:v>
      </x:c>
      <x:c r="C89" s="56" t="str">
        <x:v>MODELO_6_ANO</x:v>
      </x:c>
      <x:c r="D89" s="56" t="str">
        <x:v>CH</x:v>
      </x:c>
      <x:c r="E89" s="56" t="str">
        <x:v>Ciências Humanas</x:v>
      </x:c>
      <x:c r="F89" s="56" t="n">
        <x:v>15</x:v>
      </x:c>
      <x:c r="G89" s="56" t="n">
        <x:v>4</x:v>
      </x:c>
      <x:c r="H89" s="70" t="n">
        <x:f>G89/F89</x:f>
        <x:v>0.26666666666666666</x:v>
      </x:c>
      <x:c r="I89" s="59" t="n">
        <x:f>'Premissas'!$B$12</x:f>
        <x:v>0</x:v>
      </x:c>
      <x:c r="J89" s="59" t="n">
        <x:f>'Premissas'!$G$15</x:f>
        <x:v>1</x:v>
      </x:c>
      <x:c r="K89" s="57" t="n">
        <x:f>ROUND(MAX('Premissas'!$B$5,L89-N89),1)</x:f>
        <x:v>250.9</x:v>
      </x:c>
      <x:c r="L89" s="57" t="n">
        <x:f>ROUND(MAX('Premissas'!$B$5,MIN('Premissas'!$B$6,'Premissas'!$B$5+('Premissas'!$B$6-'Premissas'!$B$5)*(3*H89^2-2*H89^3)+I89*4*H89*(1-H89))),1)</x:f>
        <x:v>305.2</x:v>
      </x:c>
      <x:c r="M89" s="57" t="n">
        <x:f>ROUND(MIN('Premissas'!$B$6,L89+N89),1)</x:f>
        <x:v>359.5</x:v>
      </x:c>
      <x:c r="N89" s="57" t="n">
        <x:f>ROUND('Premissas'!$B$7*J89*SQRT(10/F89)*4*H89*(1-H89),1)</x:f>
        <x:v>54.3</x:v>
      </x:c>
      <x:c r="O89" s="56" t="str">
        <x:v>PROVISÓRIA</x:v>
      </x:c>
    </x:row>
    <x:row r="90">
      <x:c r="A90" s="66" t="str">
        <x:v>Escala 6º ano</x:v>
      </x:c>
      <x:c r="B90" s="66" t="str">
        <x:v>6º ano</x:v>
      </x:c>
      <x:c r="C90" s="66" t="str">
        <x:v>MODELO_6_ANO</x:v>
      </x:c>
      <x:c r="D90" s="66" t="str">
        <x:v>CH</x:v>
      </x:c>
      <x:c r="E90" s="66" t="str">
        <x:v>Ciências Humanas</x:v>
      </x:c>
      <x:c r="F90" s="66" t="n">
        <x:v>15</x:v>
      </x:c>
      <x:c r="G90" s="66" t="n">
        <x:v>5</x:v>
      </x:c>
      <x:c r="H90" s="67" t="n">
        <x:f>G90/F90</x:f>
        <x:v>0.3333333333333333</x:v>
      </x:c>
      <x:c r="I90" s="68" t="n">
        <x:f>'Premissas'!$B$12</x:f>
        <x:v>0</x:v>
      </x:c>
      <x:c r="J90" s="68" t="n">
        <x:f>'Premissas'!$G$15</x:f>
        <x:v>1</x:v>
      </x:c>
      <x:c r="K90" s="69" t="n">
        <x:f>ROUND(MAX('Premissas'!$B$5,L90-N90),1)</x:f>
        <x:v>293.9</x:v>
      </x:c>
      <x:c r="L90" s="69" t="n">
        <x:f>ROUND(MAX('Premissas'!$B$5,MIN('Premissas'!$B$6,'Premissas'!$B$5+('Premissas'!$B$6-'Premissas'!$B$5)*(3*H90^2-2*H90^3)+I90*4*H90*(1-H90))),1)</x:f>
        <x:v>355.6</x:v>
      </x:c>
      <x:c r="M90" s="69" t="n">
        <x:f>ROUND(MIN('Premissas'!$B$6,L90+N90),1)</x:f>
        <x:v>417.3</x:v>
      </x:c>
      <x:c r="N90" s="69" t="n">
        <x:f>ROUND('Premissas'!$B$7*J90*SQRT(10/F90)*4*H90*(1-H90),1)</x:f>
        <x:v>61.7</x:v>
      </x:c>
      <x:c r="O90" s="66" t="str">
        <x:v>PROVISÓRIA</x:v>
      </x:c>
    </x:row>
    <x:row r="91">
      <x:c r="A91" s="56" t="str">
        <x:v>Escala 6º ano</x:v>
      </x:c>
      <x:c r="B91" s="56" t="str">
        <x:v>6º ano</x:v>
      </x:c>
      <x:c r="C91" s="56" t="str">
        <x:v>MODELO_6_ANO</x:v>
      </x:c>
      <x:c r="D91" s="56" t="str">
        <x:v>CH</x:v>
      </x:c>
      <x:c r="E91" s="56" t="str">
        <x:v>Ciências Humanas</x:v>
      </x:c>
      <x:c r="F91" s="56" t="n">
        <x:v>15</x:v>
      </x:c>
      <x:c r="G91" s="56" t="n">
        <x:v>6</x:v>
      </x:c>
      <x:c r="H91" s="70" t="n">
        <x:f>G91/F91</x:f>
        <x:v>0.4</x:v>
      </x:c>
      <x:c r="I91" s="59" t="n">
        <x:f>'Premissas'!$B$12</x:f>
        <x:v>0</x:v>
      </x:c>
      <x:c r="J91" s="59" t="n">
        <x:f>'Premissas'!$G$15</x:f>
        <x:v>1</x:v>
      </x:c>
      <x:c r="K91" s="57" t="n">
        <x:f>ROUND(MAX('Premissas'!$B$5,L91-N91),1)</x:f>
        <x:v>344.6</x:v>
      </x:c>
      <x:c r="L91" s="57" t="n">
        <x:f>ROUND(MAX('Premissas'!$B$5,MIN('Premissas'!$B$6,'Premissas'!$B$5+('Premissas'!$B$6-'Premissas'!$B$5)*(3*H91^2-2*H91^3)+I91*4*H91*(1-H91))),1)</x:f>
        <x:v>411.2</x:v>
      </x:c>
      <x:c r="M91" s="57" t="n">
        <x:f>ROUND(MIN('Premissas'!$B$6,L91+N91),1)</x:f>
        <x:v>477.8</x:v>
      </x:c>
      <x:c r="N91" s="57" t="n">
        <x:f>ROUND('Premissas'!$B$7*J91*SQRT(10/F91)*4*H91*(1-H91),1)</x:f>
        <x:v>66.6</x:v>
      </x:c>
      <x:c r="O91" s="56" t="str">
        <x:v>PROVISÓRIA</x:v>
      </x:c>
    </x:row>
    <x:row r="92">
      <x:c r="A92" s="66" t="str">
        <x:v>Escala 6º ano</x:v>
      </x:c>
      <x:c r="B92" s="66" t="str">
        <x:v>6º ano</x:v>
      </x:c>
      <x:c r="C92" s="66" t="str">
        <x:v>MODELO_6_ANO</x:v>
      </x:c>
      <x:c r="D92" s="66" t="str">
        <x:v>CH</x:v>
      </x:c>
      <x:c r="E92" s="66" t="str">
        <x:v>Ciências Humanas</x:v>
      </x:c>
      <x:c r="F92" s="66" t="n">
        <x:v>15</x:v>
      </x:c>
      <x:c r="G92" s="66" t="n">
        <x:v>7</x:v>
      </x:c>
      <x:c r="H92" s="67" t="n">
        <x:f>G92/F92</x:f>
        <x:v>0.4666666666666667</x:v>
      </x:c>
      <x:c r="I92" s="68" t="n">
        <x:f>'Premissas'!$B$12</x:f>
        <x:v>0</x:v>
      </x:c>
      <x:c r="J92" s="68" t="n">
        <x:f>'Premissas'!$G$15</x:f>
        <x:v>1</x:v>
      </x:c>
      <x:c r="K92" s="69" t="n">
        <x:f>ROUND(MAX('Premissas'!$B$5,L92-N92),1)</x:f>
        <x:v>400.9</x:v>
      </x:c>
      <x:c r="L92" s="69" t="n">
        <x:f>ROUND(MAX('Premissas'!$B$5,MIN('Premissas'!$B$6,'Premissas'!$B$5+('Premissas'!$B$6-'Premissas'!$B$5)*(3*H92^2-2*H92^3)+I92*4*H92*(1-H92))),1)</x:f>
        <x:v>470</x:v>
      </x:c>
      <x:c r="M92" s="69" t="n">
        <x:f>ROUND(MIN('Premissas'!$B$6,L92+N92),1)</x:f>
        <x:v>539.1</x:v>
      </x:c>
      <x:c r="N92" s="69" t="n">
        <x:f>ROUND('Premissas'!$B$7*J92*SQRT(10/F92)*4*H92*(1-H92),1)</x:f>
        <x:v>69.1</x:v>
      </x:c>
      <x:c r="O92" s="66" t="str">
        <x:v>PROVISÓRIA</x:v>
      </x:c>
    </x:row>
    <x:row r="93">
      <x:c r="A93" s="56" t="str">
        <x:v>Escala 6º ano</x:v>
      </x:c>
      <x:c r="B93" s="56" t="str">
        <x:v>6º ano</x:v>
      </x:c>
      <x:c r="C93" s="56" t="str">
        <x:v>MODELO_6_ANO</x:v>
      </x:c>
      <x:c r="D93" s="56" t="str">
        <x:v>CH</x:v>
      </x:c>
      <x:c r="E93" s="56" t="str">
        <x:v>Ciências Humanas</x:v>
      </x:c>
      <x:c r="F93" s="56" t="n">
        <x:v>15</x:v>
      </x:c>
      <x:c r="G93" s="56" t="n">
        <x:v>8</x:v>
      </x:c>
      <x:c r="H93" s="70" t="n">
        <x:f>G93/F93</x:f>
        <x:v>0.5333333333333333</x:v>
      </x:c>
      <x:c r="I93" s="59" t="n">
        <x:f>'Premissas'!$B$12</x:f>
        <x:v>0</x:v>
      </x:c>
      <x:c r="J93" s="59" t="n">
        <x:f>'Premissas'!$G$15</x:f>
        <x:v>1</x:v>
      </x:c>
      <x:c r="K93" s="57" t="n">
        <x:f>ROUND(MAX('Premissas'!$B$5,L93-N93),1)</x:f>
        <x:v>460.9</x:v>
      </x:c>
      <x:c r="L93" s="57" t="n">
        <x:f>ROUND(MAX('Premissas'!$B$5,MIN('Premissas'!$B$6,'Premissas'!$B$5+('Premissas'!$B$6-'Premissas'!$B$5)*(3*H93^2-2*H93^3)+I93*4*H93*(1-H93))),1)</x:f>
        <x:v>530</x:v>
      </x:c>
      <x:c r="M93" s="57" t="n">
        <x:f>ROUND(MIN('Premissas'!$B$6,L93+N93),1)</x:f>
        <x:v>599.1</x:v>
      </x:c>
      <x:c r="N93" s="57" t="n">
        <x:f>ROUND('Premissas'!$B$7*J93*SQRT(10/F93)*4*H93*(1-H93),1)</x:f>
        <x:v>69.1</x:v>
      </x:c>
      <x:c r="O93" s="56" t="str">
        <x:v>PROVISÓRIA</x:v>
      </x:c>
    </x:row>
    <x:row r="94">
      <x:c r="A94" s="66" t="str">
        <x:v>Escala 6º ano</x:v>
      </x:c>
      <x:c r="B94" s="66" t="str">
        <x:v>6º ano</x:v>
      </x:c>
      <x:c r="C94" s="66" t="str">
        <x:v>MODELO_6_ANO</x:v>
      </x:c>
      <x:c r="D94" s="66" t="str">
        <x:v>CH</x:v>
      </x:c>
      <x:c r="E94" s="66" t="str">
        <x:v>Ciências Humanas</x:v>
      </x:c>
      <x:c r="F94" s="66" t="n">
        <x:v>15</x:v>
      </x:c>
      <x:c r="G94" s="66" t="n">
        <x:v>9</x:v>
      </x:c>
      <x:c r="H94" s="67" t="n">
        <x:f>G94/F94</x:f>
        <x:v>0.6</x:v>
      </x:c>
      <x:c r="I94" s="68" t="n">
        <x:f>'Premissas'!$B$12</x:f>
        <x:v>0</x:v>
      </x:c>
      <x:c r="J94" s="68" t="n">
        <x:f>'Premissas'!$G$15</x:f>
        <x:v>1</x:v>
      </x:c>
      <x:c r="K94" s="69" t="n">
        <x:f>ROUND(MAX('Premissas'!$B$5,L94-N94),1)</x:f>
        <x:v>522.2</x:v>
      </x:c>
      <x:c r="L94" s="69" t="n">
        <x:f>ROUND(MAX('Premissas'!$B$5,MIN('Premissas'!$B$6,'Premissas'!$B$5+('Premissas'!$B$6-'Premissas'!$B$5)*(3*H94^2-2*H94^3)+I94*4*H94*(1-H94))),1)</x:f>
        <x:v>588.8</x:v>
      </x:c>
      <x:c r="M94" s="69" t="n">
        <x:f>ROUND(MIN('Premissas'!$B$6,L94+N94),1)</x:f>
        <x:v>655.4</x:v>
      </x:c>
      <x:c r="N94" s="69" t="n">
        <x:f>ROUND('Premissas'!$B$7*J94*SQRT(10/F94)*4*H94*(1-H94),1)</x:f>
        <x:v>66.6</x:v>
      </x:c>
      <x:c r="O94" s="66" t="str">
        <x:v>PROVISÓRIA</x:v>
      </x:c>
    </x:row>
    <x:row r="95">
      <x:c r="A95" s="56" t="str">
        <x:v>Escala 6º ano</x:v>
      </x:c>
      <x:c r="B95" s="56" t="str">
        <x:v>6º ano</x:v>
      </x:c>
      <x:c r="C95" s="56" t="str">
        <x:v>MODELO_6_ANO</x:v>
      </x:c>
      <x:c r="D95" s="56" t="str">
        <x:v>CH</x:v>
      </x:c>
      <x:c r="E95" s="56" t="str">
        <x:v>Ciências Humanas</x:v>
      </x:c>
      <x:c r="F95" s="56" t="n">
        <x:v>15</x:v>
      </x:c>
      <x:c r="G95" s="56" t="n">
        <x:v>10</x:v>
      </x:c>
      <x:c r="H95" s="70" t="n">
        <x:f>G95/F95</x:f>
        <x:v>0.6666666666666666</x:v>
      </x:c>
      <x:c r="I95" s="59" t="n">
        <x:f>'Premissas'!$B$12</x:f>
        <x:v>0</x:v>
      </x:c>
      <x:c r="J95" s="59" t="n">
        <x:f>'Premissas'!$G$15</x:f>
        <x:v>1</x:v>
      </x:c>
      <x:c r="K95" s="57" t="n">
        <x:f>ROUND(MAX('Premissas'!$B$5,L95-N95),1)</x:f>
        <x:v>582.7</x:v>
      </x:c>
      <x:c r="L95" s="57" t="n">
        <x:f>ROUND(MAX('Premissas'!$B$5,MIN('Premissas'!$B$6,'Premissas'!$B$5+('Premissas'!$B$6-'Premissas'!$B$5)*(3*H95^2-2*H95^3)+I95*4*H95*(1-H95))),1)</x:f>
        <x:v>644.4</x:v>
      </x:c>
      <x:c r="M95" s="57" t="n">
        <x:f>ROUND(MIN('Premissas'!$B$6,L95+N95),1)</x:f>
        <x:v>706.1</x:v>
      </x:c>
      <x:c r="N95" s="57" t="n">
        <x:f>ROUND('Premissas'!$B$7*J95*SQRT(10/F95)*4*H95*(1-H95),1)</x:f>
        <x:v>61.7</x:v>
      </x:c>
      <x:c r="O95" s="56" t="str">
        <x:v>PROVISÓRIA</x:v>
      </x:c>
    </x:row>
    <x:row r="96">
      <x:c r="A96" s="66" t="str">
        <x:v>Escala 6º ano</x:v>
      </x:c>
      <x:c r="B96" s="66" t="str">
        <x:v>6º ano</x:v>
      </x:c>
      <x:c r="C96" s="66" t="str">
        <x:v>MODELO_6_ANO</x:v>
      </x:c>
      <x:c r="D96" s="66" t="str">
        <x:v>CH</x:v>
      </x:c>
      <x:c r="E96" s="66" t="str">
        <x:v>Ciências Humanas</x:v>
      </x:c>
      <x:c r="F96" s="66" t="n">
        <x:v>15</x:v>
      </x:c>
      <x:c r="G96" s="66" t="n">
        <x:v>11</x:v>
      </x:c>
      <x:c r="H96" s="67" t="n">
        <x:f>G96/F96</x:f>
        <x:v>0.7333333333333333</x:v>
      </x:c>
      <x:c r="I96" s="68" t="n">
        <x:f>'Premissas'!$B$12</x:f>
        <x:v>0</x:v>
      </x:c>
      <x:c r="J96" s="68" t="n">
        <x:f>'Premissas'!$G$15</x:f>
        <x:v>1</x:v>
      </x:c>
      <x:c r="K96" s="69" t="n">
        <x:f>ROUND(MAX('Premissas'!$B$5,L96-N96),1)</x:f>
        <x:v>640.5</x:v>
      </x:c>
      <x:c r="L96" s="69" t="n">
        <x:f>ROUND(MAX('Premissas'!$B$5,MIN('Premissas'!$B$6,'Premissas'!$B$5+('Premissas'!$B$6-'Premissas'!$B$5)*(3*H96^2-2*H96^3)+I96*4*H96*(1-H96))),1)</x:f>
        <x:v>694.8</x:v>
      </x:c>
      <x:c r="M96" s="69" t="n">
        <x:f>ROUND(MIN('Premissas'!$B$6,L96+N96),1)</x:f>
        <x:v>749.1</x:v>
      </x:c>
      <x:c r="N96" s="69" t="n">
        <x:f>ROUND('Premissas'!$B$7*J96*SQRT(10/F96)*4*H96*(1-H96),1)</x:f>
        <x:v>54.3</x:v>
      </x:c>
      <x:c r="O96" s="66" t="str">
        <x:v>PROVISÓRIA</x:v>
      </x:c>
    </x:row>
    <x:row r="97">
      <x:c r="A97" s="56" t="str">
        <x:v>Escala 6º ano</x:v>
      </x:c>
      <x:c r="B97" s="56" t="str">
        <x:v>6º ano</x:v>
      </x:c>
      <x:c r="C97" s="56" t="str">
        <x:v>MODELO_6_ANO</x:v>
      </x:c>
      <x:c r="D97" s="56" t="str">
        <x:v>CH</x:v>
      </x:c>
      <x:c r="E97" s="56" t="str">
        <x:v>Ciências Humanas</x:v>
      </x:c>
      <x:c r="F97" s="56" t="n">
        <x:v>15</x:v>
      </x:c>
      <x:c r="G97" s="56" t="n">
        <x:v>12</x:v>
      </x:c>
      <x:c r="H97" s="70" t="n">
        <x:f>G97/F97</x:f>
        <x:v>0.8</x:v>
      </x:c>
      <x:c r="I97" s="59" t="n">
        <x:f>'Premissas'!$B$12</x:f>
        <x:v>0</x:v>
      </x:c>
      <x:c r="J97" s="59" t="n">
        <x:f>'Premissas'!$G$15</x:f>
        <x:v>1</x:v>
      </x:c>
      <x:c r="K97" s="57" t="n">
        <x:f>ROUND(MAX('Premissas'!$B$5,L97-N97),1)</x:f>
        <x:v>693.2</x:v>
      </x:c>
      <x:c r="L97" s="57" t="n">
        <x:f>ROUND(MAX('Premissas'!$B$5,MIN('Premissas'!$B$6,'Premissas'!$B$5+('Premissas'!$B$6-'Premissas'!$B$5)*(3*H97^2-2*H97^3)+I97*4*H97*(1-H97))),1)</x:f>
        <x:v>737.6</x:v>
      </x:c>
      <x:c r="M97" s="57" t="n">
        <x:f>ROUND(MIN('Premissas'!$B$6,L97+N97),1)</x:f>
        <x:v>782</x:v>
      </x:c>
      <x:c r="N97" s="57" t="n">
        <x:f>ROUND('Premissas'!$B$7*J97*SQRT(10/F97)*4*H97*(1-H97),1)</x:f>
        <x:v>44.4</x:v>
      </x:c>
      <x:c r="O97" s="56" t="str">
        <x:v>PROVISÓRIA</x:v>
      </x:c>
    </x:row>
    <x:row r="98">
      <x:c r="A98" s="66" t="str">
        <x:v>Escala 6º ano</x:v>
      </x:c>
      <x:c r="B98" s="66" t="str">
        <x:v>6º ano</x:v>
      </x:c>
      <x:c r="C98" s="66" t="str">
        <x:v>MODELO_6_ANO</x:v>
      </x:c>
      <x:c r="D98" s="66" t="str">
        <x:v>CH</x:v>
      </x:c>
      <x:c r="E98" s="66" t="str">
        <x:v>Ciências Humanas</x:v>
      </x:c>
      <x:c r="F98" s="66" t="n">
        <x:v>15</x:v>
      </x:c>
      <x:c r="G98" s="66" t="n">
        <x:v>13</x:v>
      </x:c>
      <x:c r="H98" s="67" t="n">
        <x:f>G98/F98</x:f>
        <x:v>0.8666666666666667</x:v>
      </x:c>
      <x:c r="I98" s="68" t="n">
        <x:f>'Premissas'!$B$12</x:f>
        <x:v>0</x:v>
      </x:c>
      <x:c r="J98" s="68" t="n">
        <x:f>'Premissas'!$G$15</x:f>
        <x:v>1</x:v>
      </x:c>
      <x:c r="K98" s="69" t="n">
        <x:f>ROUND(MAX('Premissas'!$B$5,L98-N98),1)</x:f>
        <x:v>738.7</x:v>
      </x:c>
      <x:c r="L98" s="69" t="n">
        <x:f>ROUND(MAX('Premissas'!$B$5,MIN('Premissas'!$B$6,'Premissas'!$B$5+('Premissas'!$B$6-'Premissas'!$B$5)*(3*H98^2-2*H98^3)+I98*4*H98*(1-H98))),1)</x:f>
        <x:v>770.8</x:v>
      </x:c>
      <x:c r="M98" s="69" t="n">
        <x:f>ROUND(MIN('Premissas'!$B$6,L98+N98),1)</x:f>
        <x:v>800</x:v>
      </x:c>
      <x:c r="N98" s="69" t="n">
        <x:f>ROUND('Premissas'!$B$7*J98*SQRT(10/F98)*4*H98*(1-H98),1)</x:f>
        <x:v>32.1</x:v>
      </x:c>
      <x:c r="O98" s="66" t="str">
        <x:v>PROVISÓRIA</x:v>
      </x:c>
    </x:row>
    <x:row r="99">
      <x:c r="A99" s="56" t="str">
        <x:v>Escala 6º ano</x:v>
      </x:c>
      <x:c r="B99" s="56" t="str">
        <x:v>6º ano</x:v>
      </x:c>
      <x:c r="C99" s="56" t="str">
        <x:v>MODELO_6_ANO</x:v>
      </x:c>
      <x:c r="D99" s="56" t="str">
        <x:v>CH</x:v>
      </x:c>
      <x:c r="E99" s="56" t="str">
        <x:v>Ciências Humanas</x:v>
      </x:c>
      <x:c r="F99" s="56" t="n">
        <x:v>15</x:v>
      </x:c>
      <x:c r="G99" s="56" t="n">
        <x:v>14</x:v>
      </x:c>
      <x:c r="H99" s="70" t="n">
        <x:f>G99/F99</x:f>
        <x:v>0.9333333333333333</x:v>
      </x:c>
      <x:c r="I99" s="59" t="n">
        <x:f>'Premissas'!$B$12</x:f>
        <x:v>0</x:v>
      </x:c>
      <x:c r="J99" s="59" t="n">
        <x:f>'Premissas'!$G$15</x:f>
        <x:v>1</x:v>
      </x:c>
      <x:c r="K99" s="57" t="n">
        <x:f>ROUND(MAX('Premissas'!$B$5,L99-N99),1)</x:f>
        <x:v>775.1</x:v>
      </x:c>
      <x:c r="L99" s="57" t="n">
        <x:f>ROUND(MAX('Premissas'!$B$5,MIN('Premissas'!$B$6,'Premissas'!$B$5+('Premissas'!$B$6-'Premissas'!$B$5)*(3*H99^2-2*H99^3)+I99*4*H99*(1-H99))),1)</x:f>
        <x:v>792.4</x:v>
      </x:c>
      <x:c r="M99" s="57" t="n">
        <x:f>ROUND(MIN('Premissas'!$B$6,L99+N99),1)</x:f>
        <x:v>800</x:v>
      </x:c>
      <x:c r="N99" s="57" t="n">
        <x:f>ROUND('Premissas'!$B$7*J99*SQRT(10/F99)*4*H99*(1-H99),1)</x:f>
        <x:v>17.3</x:v>
      </x:c>
      <x:c r="O99" s="56" t="str">
        <x:v>PROVISÓRIA</x:v>
      </x:c>
    </x:row>
    <x:row r="100">
      <x:c r="A100" s="66" t="str">
        <x:v>Escala 6º ano</x:v>
      </x:c>
      <x:c r="B100" s="66" t="str">
        <x:v>6º ano</x:v>
      </x:c>
      <x:c r="C100" s="66" t="str">
        <x:v>MODELO_6_ANO</x:v>
      </x:c>
      <x:c r="D100" s="66" t="str">
        <x:v>CH</x:v>
      </x:c>
      <x:c r="E100" s="66" t="str">
        <x:v>Ciências Humanas</x:v>
      </x:c>
      <x:c r="F100" s="66" t="n">
        <x:v>15</x:v>
      </x:c>
      <x:c r="G100" s="66" t="n">
        <x:v>15</x:v>
      </x:c>
      <x:c r="H100" s="67" t="n">
        <x:f>G100/F100</x:f>
        <x:v>1</x:v>
      </x:c>
      <x:c r="I100" s="68" t="n">
        <x:f>'Premissas'!$B$12</x:f>
        <x:v>0</x:v>
      </x:c>
      <x:c r="J100" s="68" t="n">
        <x:f>'Premissas'!$G$15</x:f>
        <x:v>1</x:v>
      </x:c>
      <x:c r="K100" s="69" t="n">
        <x:f>ROUND(MAX('Premissas'!$B$5,L100-N100),1)</x:f>
        <x:v>800</x:v>
      </x:c>
      <x:c r="L100" s="69" t="n">
        <x:f>ROUND(MAX('Premissas'!$B$5,MIN('Premissas'!$B$6,'Premissas'!$B$5+('Premissas'!$B$6-'Premissas'!$B$5)*(3*H100^2-2*H100^3)+I100*4*H100*(1-H100))),1)</x:f>
        <x:v>800</x:v>
      </x:c>
      <x:c r="M100" s="69" t="n">
        <x:f>ROUND(MIN('Premissas'!$B$6,L100+N100),1)</x:f>
        <x:v>800</x:v>
      </x:c>
      <x:c r="N100" s="69" t="n">
        <x:f>ROUND('Premissas'!$B$7*J100*SQRT(10/F100)*4*H100*(1-H100),1)</x:f>
        <x:v>0</x:v>
      </x:c>
      <x:c r="O100" s="66" t="str">
        <x:v>PROVISÓRIA</x:v>
      </x:c>
    </x:row>
    <x:row r="101">
      <x:c r="A101" s="56" t="str">
        <x:v>Escala 6º ano</x:v>
      </x:c>
      <x:c r="B101" s="56" t="str">
        <x:v>6º ano</x:v>
      </x:c>
      <x:c r="C101" s="56" t="str">
        <x:v>MODELO_6_ANO</x:v>
      </x:c>
      <x:c r="D101" s="56" t="str">
        <x:v>CN</x:v>
      </x:c>
      <x:c r="E101" s="56" t="str">
        <x:v>Ciências da Natureza</x:v>
      </x:c>
      <x:c r="F101" s="56" t="n">
        <x:v>5</x:v>
      </x:c>
      <x:c r="G101" s="56" t="n">
        <x:v>0</x:v>
      </x:c>
      <x:c r="H101" s="70" t="n">
        <x:f>G101/F101</x:f>
        <x:v>0</x:v>
      </x:c>
      <x:c r="I101" s="59" t="n">
        <x:f>'Premissas'!$B$12</x:f>
        <x:v>0</x:v>
      </x:c>
      <x:c r="J101" s="59" t="n">
        <x:f>'Premissas'!$G$16</x:f>
        <x:v>1</x:v>
      </x:c>
      <x:c r="K101" s="57" t="n">
        <x:f>ROUND(MAX('Premissas'!$B$5,L101-N101),1)</x:f>
        <x:v>200</x:v>
      </x:c>
      <x:c r="L101" s="57" t="n">
        <x:f>ROUND(MAX('Premissas'!$B$5,MIN('Premissas'!$B$6,'Premissas'!$B$5+('Premissas'!$B$6-'Premissas'!$B$5)*(3*H101^2-2*H101^3)+I101*4*H101*(1-H101))),1)</x:f>
        <x:v>200</x:v>
      </x:c>
      <x:c r="M101" s="57" t="n">
        <x:f>ROUND(MIN('Premissas'!$B$6,L101+N101),1)</x:f>
        <x:v>200</x:v>
      </x:c>
      <x:c r="N101" s="57" t="n">
        <x:f>ROUND('Premissas'!$B$7*J101*SQRT(10/F101)*4*H101*(1-H101),1)</x:f>
        <x:v>0</x:v>
      </x:c>
      <x:c r="O101" s="56" t="str">
        <x:v>PROVISÓRIA</x:v>
      </x:c>
    </x:row>
    <x:row r="102">
      <x:c r="A102" s="66" t="str">
        <x:v>Escala 6º ano</x:v>
      </x:c>
      <x:c r="B102" s="66" t="str">
        <x:v>6º ano</x:v>
      </x:c>
      <x:c r="C102" s="66" t="str">
        <x:v>MODELO_6_ANO</x:v>
      </x:c>
      <x:c r="D102" s="66" t="str">
        <x:v>CN</x:v>
      </x:c>
      <x:c r="E102" s="66" t="str">
        <x:v>Ciências da Natureza</x:v>
      </x:c>
      <x:c r="F102" s="66" t="n">
        <x:v>5</x:v>
      </x:c>
      <x:c r="G102" s="66" t="n">
        <x:v>1</x:v>
      </x:c>
      <x:c r="H102" s="67" t="n">
        <x:f>G102/F102</x:f>
        <x:v>0.2</x:v>
      </x:c>
      <x:c r="I102" s="68" t="n">
        <x:f>'Premissas'!$B$12</x:f>
        <x:v>0</x:v>
      </x:c>
      <x:c r="J102" s="68" t="n">
        <x:f>'Premissas'!$G$16</x:f>
        <x:v>1</x:v>
      </x:c>
      <x:c r="K102" s="69" t="n">
        <x:f>ROUND(MAX('Premissas'!$B$5,L102-N102),1)</x:f>
        <x:v>200</x:v>
      </x:c>
      <x:c r="L102" s="69" t="n">
        <x:f>ROUND(MAX('Premissas'!$B$5,MIN('Premissas'!$B$6,'Premissas'!$B$5+('Premissas'!$B$6-'Premissas'!$B$5)*(3*H102^2-2*H102^3)+I102*4*H102*(1-H102))),1)</x:f>
        <x:v>262.4</x:v>
      </x:c>
      <x:c r="M102" s="69" t="n">
        <x:f>ROUND(MIN('Premissas'!$B$6,L102+N102),1)</x:f>
        <x:v>339.3</x:v>
      </x:c>
      <x:c r="N102" s="69" t="n">
        <x:f>ROUND('Premissas'!$B$7*J102*SQRT(10/F102)*4*H102*(1-H102),1)</x:f>
        <x:v>76.9</x:v>
      </x:c>
      <x:c r="O102" s="66" t="str">
        <x:v>PROVISÓRIA</x:v>
      </x:c>
    </x:row>
    <x:row r="103">
      <x:c r="A103" s="56" t="str">
        <x:v>Escala 6º ano</x:v>
      </x:c>
      <x:c r="B103" s="56" t="str">
        <x:v>6º ano</x:v>
      </x:c>
      <x:c r="C103" s="56" t="str">
        <x:v>MODELO_6_ANO</x:v>
      </x:c>
      <x:c r="D103" s="56" t="str">
        <x:v>CN</x:v>
      </x:c>
      <x:c r="E103" s="56" t="str">
        <x:v>Ciências da Natureza</x:v>
      </x:c>
      <x:c r="F103" s="56" t="n">
        <x:v>5</x:v>
      </x:c>
      <x:c r="G103" s="56" t="n">
        <x:v>2</x:v>
      </x:c>
      <x:c r="H103" s="70" t="n">
        <x:f>G103/F103</x:f>
        <x:v>0.4</x:v>
      </x:c>
      <x:c r="I103" s="59" t="n">
        <x:f>'Premissas'!$B$12</x:f>
        <x:v>0</x:v>
      </x:c>
      <x:c r="J103" s="59" t="n">
        <x:f>'Premissas'!$G$16</x:f>
        <x:v>1</x:v>
      </x:c>
      <x:c r="K103" s="57" t="n">
        <x:f>ROUND(MAX('Premissas'!$B$5,L103-N103),1)</x:f>
        <x:v>295.8</x:v>
      </x:c>
      <x:c r="L103" s="57" t="n">
        <x:f>ROUND(MAX('Premissas'!$B$5,MIN('Premissas'!$B$6,'Premissas'!$B$5+('Premissas'!$B$6-'Premissas'!$B$5)*(3*H103^2-2*H103^3)+I103*4*H103*(1-H103))),1)</x:f>
        <x:v>411.2</x:v>
      </x:c>
      <x:c r="M103" s="57" t="n">
        <x:f>ROUND(MIN('Premissas'!$B$6,L103+N103),1)</x:f>
        <x:v>526.6</x:v>
      </x:c>
      <x:c r="N103" s="57" t="n">
        <x:f>ROUND('Premissas'!$B$7*J103*SQRT(10/F103)*4*H103*(1-H103),1)</x:f>
        <x:v>115.4</x:v>
      </x:c>
      <x:c r="O103" s="56" t="str">
        <x:v>PROVISÓRIA</x:v>
      </x:c>
    </x:row>
    <x:row r="104">
      <x:c r="A104" s="66" t="str">
        <x:v>Escala 6º ano</x:v>
      </x:c>
      <x:c r="B104" s="66" t="str">
        <x:v>6º ano</x:v>
      </x:c>
      <x:c r="C104" s="66" t="str">
        <x:v>MODELO_6_ANO</x:v>
      </x:c>
      <x:c r="D104" s="66" t="str">
        <x:v>CN</x:v>
      </x:c>
      <x:c r="E104" s="66" t="str">
        <x:v>Ciências da Natureza</x:v>
      </x:c>
      <x:c r="F104" s="66" t="n">
        <x:v>5</x:v>
      </x:c>
      <x:c r="G104" s="66" t="n">
        <x:v>3</x:v>
      </x:c>
      <x:c r="H104" s="67" t="n">
        <x:f>G104/F104</x:f>
        <x:v>0.6</x:v>
      </x:c>
      <x:c r="I104" s="68" t="n">
        <x:f>'Premissas'!$B$12</x:f>
        <x:v>0</x:v>
      </x:c>
      <x:c r="J104" s="68" t="n">
        <x:f>'Premissas'!$G$16</x:f>
        <x:v>1</x:v>
      </x:c>
      <x:c r="K104" s="69" t="n">
        <x:f>ROUND(MAX('Premissas'!$B$5,L104-N104),1)</x:f>
        <x:v>473.4</x:v>
      </x:c>
      <x:c r="L104" s="69" t="n">
        <x:f>ROUND(MAX('Premissas'!$B$5,MIN('Premissas'!$B$6,'Premissas'!$B$5+('Premissas'!$B$6-'Premissas'!$B$5)*(3*H104^2-2*H104^3)+I104*4*H104*(1-H104))),1)</x:f>
        <x:v>588.8</x:v>
      </x:c>
      <x:c r="M104" s="69" t="n">
        <x:f>ROUND(MIN('Premissas'!$B$6,L104+N104),1)</x:f>
        <x:v>704.2</x:v>
      </x:c>
      <x:c r="N104" s="69" t="n">
        <x:f>ROUND('Premissas'!$B$7*J104*SQRT(10/F104)*4*H104*(1-H104),1)</x:f>
        <x:v>115.4</x:v>
      </x:c>
      <x:c r="O104" s="66" t="str">
        <x:v>PROVISÓRIA</x:v>
      </x:c>
    </x:row>
    <x:row r="105">
      <x:c r="A105" s="56" t="str">
        <x:v>Escala 6º ano</x:v>
      </x:c>
      <x:c r="B105" s="56" t="str">
        <x:v>6º ano</x:v>
      </x:c>
      <x:c r="C105" s="56" t="str">
        <x:v>MODELO_6_ANO</x:v>
      </x:c>
      <x:c r="D105" s="56" t="str">
        <x:v>CN</x:v>
      </x:c>
      <x:c r="E105" s="56" t="str">
        <x:v>Ciências da Natureza</x:v>
      </x:c>
      <x:c r="F105" s="56" t="n">
        <x:v>5</x:v>
      </x:c>
      <x:c r="G105" s="56" t="n">
        <x:v>4</x:v>
      </x:c>
      <x:c r="H105" s="70" t="n">
        <x:f>G105/F105</x:f>
        <x:v>0.8</x:v>
      </x:c>
      <x:c r="I105" s="59" t="n">
        <x:f>'Premissas'!$B$12</x:f>
        <x:v>0</x:v>
      </x:c>
      <x:c r="J105" s="59" t="n">
        <x:f>'Premissas'!$G$16</x:f>
        <x:v>1</x:v>
      </x:c>
      <x:c r="K105" s="57" t="n">
        <x:f>ROUND(MAX('Premissas'!$B$5,L105-N105),1)</x:f>
        <x:v>660.7</x:v>
      </x:c>
      <x:c r="L105" s="57" t="n">
        <x:f>ROUND(MAX('Premissas'!$B$5,MIN('Premissas'!$B$6,'Premissas'!$B$5+('Premissas'!$B$6-'Premissas'!$B$5)*(3*H105^2-2*H105^3)+I105*4*H105*(1-H105))),1)</x:f>
        <x:v>737.6</x:v>
      </x:c>
      <x:c r="M105" s="57" t="n">
        <x:f>ROUND(MIN('Premissas'!$B$6,L105+N105),1)</x:f>
        <x:v>800</x:v>
      </x:c>
      <x:c r="N105" s="57" t="n">
        <x:f>ROUND('Premissas'!$B$7*J105*SQRT(10/F105)*4*H105*(1-H105),1)</x:f>
        <x:v>76.9</x:v>
      </x:c>
      <x:c r="O105" s="56" t="str">
        <x:v>PROVISÓRIA</x:v>
      </x:c>
    </x:row>
    <x:row r="106">
      <x:c r="A106" s="66" t="str">
        <x:v>Escala 6º ano</x:v>
      </x:c>
      <x:c r="B106" s="66" t="str">
        <x:v>6º ano</x:v>
      </x:c>
      <x:c r="C106" s="66" t="str">
        <x:v>MODELO_6_ANO</x:v>
      </x:c>
      <x:c r="D106" s="66" t="str">
        <x:v>CN</x:v>
      </x:c>
      <x:c r="E106" s="66" t="str">
        <x:v>Ciências da Natureza</x:v>
      </x:c>
      <x:c r="F106" s="66" t="n">
        <x:v>5</x:v>
      </x:c>
      <x:c r="G106" s="66" t="n">
        <x:v>5</x:v>
      </x:c>
      <x:c r="H106" s="67" t="n">
        <x:f>G106/F106</x:f>
        <x:v>1</x:v>
      </x:c>
      <x:c r="I106" s="68" t="n">
        <x:f>'Premissas'!$B$12</x:f>
        <x:v>0</x:v>
      </x:c>
      <x:c r="J106" s="68" t="n">
        <x:f>'Premissas'!$G$16</x:f>
        <x:v>1</x:v>
      </x:c>
      <x:c r="K106" s="69" t="n">
        <x:f>ROUND(MAX('Premissas'!$B$5,L106-N106),1)</x:f>
        <x:v>800</x:v>
      </x:c>
      <x:c r="L106" s="69" t="n">
        <x:f>ROUND(MAX('Premissas'!$B$5,MIN('Premissas'!$B$6,'Premissas'!$B$5+('Premissas'!$B$6-'Premissas'!$B$5)*(3*H106^2-2*H106^3)+I106*4*H106*(1-H106))),1)</x:f>
        <x:v>800</x:v>
      </x:c>
      <x:c r="M106" s="69" t="n">
        <x:f>ROUND(MIN('Premissas'!$B$6,L106+N106),1)</x:f>
        <x:v>800</x:v>
      </x:c>
      <x:c r="N106" s="69" t="n">
        <x:f>ROUND('Premissas'!$B$7*J106*SQRT(10/F106)*4*H106*(1-H106),1)</x:f>
        <x:v>0</x:v>
      </x:c>
      <x:c r="O106" s="66" t="str">
        <x:v>PROVISÓRIA</x:v>
      </x:c>
    </x:row>
    <x:row r="107">
      <x:c r="A107" s="56" t="str">
        <x:v>Escala comum 7º–9º</x:v>
      </x:c>
      <x:c r="B107" s="56" t="str">
        <x:v>7º ano</x:v>
      </x:c>
      <x:c r="C107" s="56" t="str">
        <x:v>MODELO_7_ANO</x:v>
      </x:c>
      <x:c r="D107" s="56" t="str">
        <x:v>GERAL</x:v>
      </x:c>
      <x:c r="E107" s="56" t="str">
        <x:v>Geral (total bruto)</x:v>
      </x:c>
      <x:c r="F107" s="56" t="n">
        <x:v>50</x:v>
      </x:c>
      <x:c r="G107" s="56" t="n">
        <x:v>0</x:v>
      </x:c>
      <x:c r="H107" s="70" t="n">
        <x:f>G107/F107</x:f>
        <x:v>0</x:v>
      </x:c>
      <x:c r="I107" s="59" t="n">
        <x:f>'Premissas'!$B$13</x:f>
        <x:v>-50</x:v>
      </x:c>
      <x:c r="J107" s="59" t="n">
        <x:f>'Premissas'!$G$12</x:f>
        <x:v>1</x:v>
      </x:c>
      <x:c r="K107" s="57" t="n">
        <x:f>ROUND(MAX('Premissas'!$B$5,L107-N107),1)</x:f>
        <x:v>200</x:v>
      </x:c>
      <x:c r="L107" s="57" t="n">
        <x:f>ROUND(MAX('Premissas'!$B$5,MIN('Premissas'!$B$6,'Premissas'!$B$5+('Premissas'!$B$6-'Premissas'!$B$5)*(3*H107^2-2*H107^3)+I107*4*H107*(1-H107))),1)</x:f>
        <x:v>200</x:v>
      </x:c>
      <x:c r="M107" s="57" t="n">
        <x:f>ROUND(MIN('Premissas'!$B$6,L107+N107),1)</x:f>
        <x:v>200</x:v>
      </x:c>
      <x:c r="N107" s="57" t="n">
        <x:f>ROUND('Premissas'!$B$7*J107*SQRT(10/F107)*4*H107*(1-H107),1)</x:f>
        <x:v>0</x:v>
      </x:c>
      <x:c r="O107" s="56" t="str">
        <x:v>PROVISÓRIA</x:v>
      </x:c>
    </x:row>
    <x:row r="108">
      <x:c r="A108" s="66" t="str">
        <x:v>Escala comum 7º–9º</x:v>
      </x:c>
      <x:c r="B108" s="66" t="str">
        <x:v>7º ano</x:v>
      </x:c>
      <x:c r="C108" s="66" t="str">
        <x:v>MODELO_7_ANO</x:v>
      </x:c>
      <x:c r="D108" s="66" t="str">
        <x:v>GERAL</x:v>
      </x:c>
      <x:c r="E108" s="66" t="str">
        <x:v>Geral (total bruto)</x:v>
      </x:c>
      <x:c r="F108" s="66" t="n">
        <x:v>50</x:v>
      </x:c>
      <x:c r="G108" s="66" t="n">
        <x:v>1</x:v>
      </x:c>
      <x:c r="H108" s="67" t="n">
        <x:f>G108/F108</x:f>
        <x:v>0.02</x:v>
      </x:c>
      <x:c r="I108" s="68" t="n">
        <x:f>'Premissas'!$B$13</x:f>
        <x:v>-50</x:v>
      </x:c>
      <x:c r="J108" s="68" t="n">
        <x:f>'Premissas'!$G$12</x:f>
        <x:v>1</x:v>
      </x:c>
      <x:c r="K108" s="69" t="n">
        <x:f>ROUND(MAX('Premissas'!$B$5,L108-N108),1)</x:f>
        <x:v>200</x:v>
      </x:c>
      <x:c r="L108" s="69" t="n">
        <x:f>ROUND(MAX('Premissas'!$B$5,MIN('Premissas'!$B$6,'Premissas'!$B$5+('Premissas'!$B$6-'Premissas'!$B$5)*(3*H108^2-2*H108^3)+I108*4*H108*(1-H108))),1)</x:f>
        <x:v>200</x:v>
      </x:c>
      <x:c r="M108" s="69" t="n">
        <x:f>ROUND(MIN('Premissas'!$B$6,L108+N108),1)</x:f>
        <x:v>203</x:v>
      </x:c>
      <x:c r="N108" s="69" t="n">
        <x:f>ROUND('Premissas'!$B$7*J108*SQRT(10/F108)*4*H108*(1-H108),1)</x:f>
        <x:v>3</x:v>
      </x:c>
      <x:c r="O108" s="66" t="str">
        <x:v>PROVISÓRIA</x:v>
      </x:c>
    </x:row>
    <x:row r="109">
      <x:c r="A109" s="56" t="str">
        <x:v>Escala comum 7º–9º</x:v>
      </x:c>
      <x:c r="B109" s="56" t="str">
        <x:v>7º ano</x:v>
      </x:c>
      <x:c r="C109" s="56" t="str">
        <x:v>MODELO_7_ANO</x:v>
      </x:c>
      <x:c r="D109" s="56" t="str">
        <x:v>GERAL</x:v>
      </x:c>
      <x:c r="E109" s="56" t="str">
        <x:v>Geral (total bruto)</x:v>
      </x:c>
      <x:c r="F109" s="56" t="n">
        <x:v>50</x:v>
      </x:c>
      <x:c r="G109" s="56" t="n">
        <x:v>2</x:v>
      </x:c>
      <x:c r="H109" s="70" t="n">
        <x:f>G109/F109</x:f>
        <x:v>0.04</x:v>
      </x:c>
      <x:c r="I109" s="59" t="n">
        <x:f>'Premissas'!$B$13</x:f>
        <x:v>-50</x:v>
      </x:c>
      <x:c r="J109" s="59" t="n">
        <x:f>'Premissas'!$G$12</x:f>
        <x:v>1</x:v>
      </x:c>
      <x:c r="K109" s="57" t="n">
        <x:f>ROUND(MAX('Premissas'!$B$5,L109-N109),1)</x:f>
        <x:v>200</x:v>
      </x:c>
      <x:c r="L109" s="57" t="n">
        <x:f>ROUND(MAX('Premissas'!$B$5,MIN('Premissas'!$B$6,'Premissas'!$B$5+('Premissas'!$B$6-'Premissas'!$B$5)*(3*H109^2-2*H109^3)+I109*4*H109*(1-H109))),1)</x:f>
        <x:v>200</x:v>
      </x:c>
      <x:c r="M109" s="57" t="n">
        <x:f>ROUND(MIN('Premissas'!$B$6,L109+N109),1)</x:f>
        <x:v>205.8</x:v>
      </x:c>
      <x:c r="N109" s="57" t="n">
        <x:f>ROUND('Premissas'!$B$7*J109*SQRT(10/F109)*4*H109*(1-H109),1)</x:f>
        <x:v>5.8</x:v>
      </x:c>
      <x:c r="O109" s="56" t="str">
        <x:v>PROVISÓRIA</x:v>
      </x:c>
    </x:row>
    <x:row r="110">
      <x:c r="A110" s="66" t="str">
        <x:v>Escala comum 7º–9º</x:v>
      </x:c>
      <x:c r="B110" s="66" t="str">
        <x:v>7º ano</x:v>
      </x:c>
      <x:c r="C110" s="66" t="str">
        <x:v>MODELO_7_ANO</x:v>
      </x:c>
      <x:c r="D110" s="66" t="str">
        <x:v>GERAL</x:v>
      </x:c>
      <x:c r="E110" s="66" t="str">
        <x:v>Geral (total bruto)</x:v>
      </x:c>
      <x:c r="F110" s="66" t="n">
        <x:v>50</x:v>
      </x:c>
      <x:c r="G110" s="66" t="n">
        <x:v>3</x:v>
      </x:c>
      <x:c r="H110" s="67" t="n">
        <x:f>G110/F110</x:f>
        <x:v>0.06</x:v>
      </x:c>
      <x:c r="I110" s="68" t="n">
        <x:f>'Premissas'!$B$13</x:f>
        <x:v>-50</x:v>
      </x:c>
      <x:c r="J110" s="68" t="n">
        <x:f>'Premissas'!$G$12</x:f>
        <x:v>1</x:v>
      </x:c>
      <x:c r="K110" s="69" t="n">
        <x:f>ROUND(MAX('Premissas'!$B$5,L110-N110),1)</x:f>
        <x:v>200</x:v>
      </x:c>
      <x:c r="L110" s="69" t="n">
        <x:f>ROUND(MAX('Premissas'!$B$5,MIN('Premissas'!$B$6,'Premissas'!$B$5+('Premissas'!$B$6-'Premissas'!$B$5)*(3*H110^2-2*H110^3)+I110*4*H110*(1-H110))),1)</x:f>
        <x:v>200</x:v>
      </x:c>
      <x:c r="M110" s="69" t="n">
        <x:f>ROUND(MIN('Premissas'!$B$6,L110+N110),1)</x:f>
        <x:v>208.6</x:v>
      </x:c>
      <x:c r="N110" s="69" t="n">
        <x:f>ROUND('Premissas'!$B$7*J110*SQRT(10/F110)*4*H110*(1-H110),1)</x:f>
        <x:v>8.6</x:v>
      </x:c>
      <x:c r="O110" s="66" t="str">
        <x:v>PROVISÓRIA</x:v>
      </x:c>
    </x:row>
    <x:row r="111">
      <x:c r="A111" s="56" t="str">
        <x:v>Escala comum 7º–9º</x:v>
      </x:c>
      <x:c r="B111" s="56" t="str">
        <x:v>7º ano</x:v>
      </x:c>
      <x:c r="C111" s="56" t="str">
        <x:v>MODELO_7_ANO</x:v>
      </x:c>
      <x:c r="D111" s="56" t="str">
        <x:v>GERAL</x:v>
      </x:c>
      <x:c r="E111" s="56" t="str">
        <x:v>Geral (total bruto)</x:v>
      </x:c>
      <x:c r="F111" s="56" t="n">
        <x:v>50</x:v>
      </x:c>
      <x:c r="G111" s="56" t="n">
        <x:v>4</x:v>
      </x:c>
      <x:c r="H111" s="70" t="n">
        <x:f>G111/F111</x:f>
        <x:v>0.08</x:v>
      </x:c>
      <x:c r="I111" s="59" t="n">
        <x:f>'Premissas'!$B$13</x:f>
        <x:v>-50</x:v>
      </x:c>
      <x:c r="J111" s="59" t="n">
        <x:f>'Premissas'!$G$12</x:f>
        <x:v>1</x:v>
      </x:c>
      <x:c r="K111" s="57" t="n">
        <x:f>ROUND(MAX('Premissas'!$B$5,L111-N111),1)</x:f>
        <x:v>200</x:v>
      </x:c>
      <x:c r="L111" s="57" t="n">
        <x:f>ROUND(MAX('Premissas'!$B$5,MIN('Premissas'!$B$6,'Premissas'!$B$5+('Premissas'!$B$6-'Premissas'!$B$5)*(3*H111^2-2*H111^3)+I111*4*H111*(1-H111))),1)</x:f>
        <x:v>200</x:v>
      </x:c>
      <x:c r="M111" s="57" t="n">
        <x:f>ROUND(MIN('Premissas'!$B$6,L111+N111),1)</x:f>
        <x:v>211.2</x:v>
      </x:c>
      <x:c r="N111" s="57" t="n">
        <x:f>ROUND('Premissas'!$B$7*J111*SQRT(10/F111)*4*H111*(1-H111),1)</x:f>
        <x:v>11.2</x:v>
      </x:c>
      <x:c r="O111" s="56" t="str">
        <x:v>PROVISÓRIA</x:v>
      </x:c>
    </x:row>
    <x:row r="112">
      <x:c r="A112" s="66" t="str">
        <x:v>Escala comum 7º–9º</x:v>
      </x:c>
      <x:c r="B112" s="66" t="str">
        <x:v>7º ano</x:v>
      </x:c>
      <x:c r="C112" s="66" t="str">
        <x:v>MODELO_7_ANO</x:v>
      </x:c>
      <x:c r="D112" s="66" t="str">
        <x:v>GERAL</x:v>
      </x:c>
      <x:c r="E112" s="66" t="str">
        <x:v>Geral (total bruto)</x:v>
      </x:c>
      <x:c r="F112" s="66" t="n">
        <x:v>50</x:v>
      </x:c>
      <x:c r="G112" s="66" t="n">
        <x:v>5</x:v>
      </x:c>
      <x:c r="H112" s="67" t="n">
        <x:f>G112/F112</x:f>
        <x:v>0.1</x:v>
      </x:c>
      <x:c r="I112" s="68" t="n">
        <x:f>'Premissas'!$B$13</x:f>
        <x:v>-50</x:v>
      </x:c>
      <x:c r="J112" s="68" t="n">
        <x:f>'Premissas'!$G$12</x:f>
        <x:v>1</x:v>
      </x:c>
      <x:c r="K112" s="69" t="n">
        <x:f>ROUND(MAX('Premissas'!$B$5,L112-N112),1)</x:f>
        <x:v>200</x:v>
      </x:c>
      <x:c r="L112" s="69" t="n">
        <x:f>ROUND(MAX('Premissas'!$B$5,MIN('Premissas'!$B$6,'Premissas'!$B$5+('Premissas'!$B$6-'Premissas'!$B$5)*(3*H112^2-2*H112^3)+I112*4*H112*(1-H112))),1)</x:f>
        <x:v>200</x:v>
      </x:c>
      <x:c r="M112" s="69" t="n">
        <x:f>ROUND(MIN('Premissas'!$B$6,L112+N112),1)</x:f>
        <x:v>213.7</x:v>
      </x:c>
      <x:c r="N112" s="69" t="n">
        <x:f>ROUND('Premissas'!$B$7*J112*SQRT(10/F112)*4*H112*(1-H112),1)</x:f>
        <x:v>13.7</x:v>
      </x:c>
      <x:c r="O112" s="66" t="str">
        <x:v>PROVISÓRIA</x:v>
      </x:c>
    </x:row>
    <x:row r="113">
      <x:c r="A113" s="56" t="str">
        <x:v>Escala comum 7º–9º</x:v>
      </x:c>
      <x:c r="B113" s="56" t="str">
        <x:v>7º ano</x:v>
      </x:c>
      <x:c r="C113" s="56" t="str">
        <x:v>MODELO_7_ANO</x:v>
      </x:c>
      <x:c r="D113" s="56" t="str">
        <x:v>GERAL</x:v>
      </x:c>
      <x:c r="E113" s="56" t="str">
        <x:v>Geral (total bruto)</x:v>
      </x:c>
      <x:c r="F113" s="56" t="n">
        <x:v>50</x:v>
      </x:c>
      <x:c r="G113" s="56" t="n">
        <x:v>6</x:v>
      </x:c>
      <x:c r="H113" s="70" t="n">
        <x:f>G113/F113</x:f>
        <x:v>0.12</x:v>
      </x:c>
      <x:c r="I113" s="59" t="n">
        <x:f>'Premissas'!$B$13</x:f>
        <x:v>-50</x:v>
      </x:c>
      <x:c r="J113" s="59" t="n">
        <x:f>'Premissas'!$G$12</x:f>
        <x:v>1</x:v>
      </x:c>
      <x:c r="K113" s="57" t="n">
        <x:f>ROUND(MAX('Premissas'!$B$5,L113-N113),1)</x:f>
        <x:v>200</x:v>
      </x:c>
      <x:c r="L113" s="57" t="n">
        <x:f>ROUND(MAX('Premissas'!$B$5,MIN('Premissas'!$B$6,'Premissas'!$B$5+('Premissas'!$B$6-'Premissas'!$B$5)*(3*H113^2-2*H113^3)+I113*4*H113*(1-H113))),1)</x:f>
        <x:v>202.7</x:v>
      </x:c>
      <x:c r="M113" s="57" t="n">
        <x:f>ROUND(MIN('Premissas'!$B$6,L113+N113),1)</x:f>
        <x:v>218.8</x:v>
      </x:c>
      <x:c r="N113" s="57" t="n">
        <x:f>ROUND('Premissas'!$B$7*J113*SQRT(10/F113)*4*H113*(1-H113),1)</x:f>
        <x:v>16.1</x:v>
      </x:c>
      <x:c r="O113" s="56" t="str">
        <x:v>PROVISÓRIA</x:v>
      </x:c>
    </x:row>
    <x:row r="114">
      <x:c r="A114" s="66" t="str">
        <x:v>Escala comum 7º–9º</x:v>
      </x:c>
      <x:c r="B114" s="66" t="str">
        <x:v>7º ano</x:v>
      </x:c>
      <x:c r="C114" s="66" t="str">
        <x:v>MODELO_7_ANO</x:v>
      </x:c>
      <x:c r="D114" s="66" t="str">
        <x:v>GERAL</x:v>
      </x:c>
      <x:c r="E114" s="66" t="str">
        <x:v>Geral (total bruto)</x:v>
      </x:c>
      <x:c r="F114" s="66" t="n">
        <x:v>50</x:v>
      </x:c>
      <x:c r="G114" s="66" t="n">
        <x:v>7</x:v>
      </x:c>
      <x:c r="H114" s="67" t="n">
        <x:f>G114/F114</x:f>
        <x:v>0.14</x:v>
      </x:c>
      <x:c r="I114" s="68" t="n">
        <x:f>'Premissas'!$B$13</x:f>
        <x:v>-50</x:v>
      </x:c>
      <x:c r="J114" s="68" t="n">
        <x:f>'Premissas'!$G$12</x:f>
        <x:v>1</x:v>
      </x:c>
      <x:c r="K114" s="69" t="n">
        <x:f>ROUND(MAX('Premissas'!$B$5,L114-N114),1)</x:f>
        <x:v>200</x:v>
      </x:c>
      <x:c r="L114" s="69" t="n">
        <x:f>ROUND(MAX('Premissas'!$B$5,MIN('Premissas'!$B$6,'Premissas'!$B$5+('Premissas'!$B$6-'Premissas'!$B$5)*(3*H114^2-2*H114^3)+I114*4*H114*(1-H114))),1)</x:f>
        <x:v>207.9</x:v>
      </x:c>
      <x:c r="M114" s="69" t="n">
        <x:f>ROUND(MIN('Premissas'!$B$6,L114+N114),1)</x:f>
        <x:v>226.2</x:v>
      </x:c>
      <x:c r="N114" s="69" t="n">
        <x:f>ROUND('Premissas'!$B$7*J114*SQRT(10/F114)*4*H114*(1-H114),1)</x:f>
        <x:v>18.3</x:v>
      </x:c>
      <x:c r="O114" s="66" t="str">
        <x:v>PROVISÓRIA</x:v>
      </x:c>
    </x:row>
    <x:row r="115">
      <x:c r="A115" s="56" t="str">
        <x:v>Escala comum 7º–9º</x:v>
      </x:c>
      <x:c r="B115" s="56" t="str">
        <x:v>7º ano</x:v>
      </x:c>
      <x:c r="C115" s="56" t="str">
        <x:v>MODELO_7_ANO</x:v>
      </x:c>
      <x:c r="D115" s="56" t="str">
        <x:v>GERAL</x:v>
      </x:c>
      <x:c r="E115" s="56" t="str">
        <x:v>Geral (total bruto)</x:v>
      </x:c>
      <x:c r="F115" s="56" t="n">
        <x:v>50</x:v>
      </x:c>
      <x:c r="G115" s="56" t="n">
        <x:v>8</x:v>
      </x:c>
      <x:c r="H115" s="70" t="n">
        <x:f>G115/F115</x:f>
        <x:v>0.16</x:v>
      </x:c>
      <x:c r="I115" s="59" t="n">
        <x:f>'Premissas'!$B$13</x:f>
        <x:v>-50</x:v>
      </x:c>
      <x:c r="J115" s="59" t="n">
        <x:f>'Premissas'!$G$12</x:f>
        <x:v>1</x:v>
      </x:c>
      <x:c r="K115" s="57" t="n">
        <x:f>ROUND(MAX('Premissas'!$B$5,L115-N115),1)</x:f>
        <x:v>200</x:v>
      </x:c>
      <x:c r="L115" s="57" t="n">
        <x:f>ROUND(MAX('Premissas'!$B$5,MIN('Premissas'!$B$6,'Premissas'!$B$5+('Premissas'!$B$6-'Premissas'!$B$5)*(3*H115^2-2*H115^3)+I115*4*H115*(1-H115))),1)</x:f>
        <x:v>214.3</x:v>
      </x:c>
      <x:c r="M115" s="57" t="n">
        <x:f>ROUND(MIN('Premissas'!$B$6,L115+N115),1)</x:f>
        <x:v>234.7</x:v>
      </x:c>
      <x:c r="N115" s="57" t="n">
        <x:f>ROUND('Premissas'!$B$7*J115*SQRT(10/F115)*4*H115*(1-H115),1)</x:f>
        <x:v>20.4</x:v>
      </x:c>
      <x:c r="O115" s="56" t="str">
        <x:v>PROVISÓRIA</x:v>
      </x:c>
    </x:row>
    <x:row r="116">
      <x:c r="A116" s="66" t="str">
        <x:v>Escala comum 7º–9º</x:v>
      </x:c>
      <x:c r="B116" s="66" t="str">
        <x:v>7º ano</x:v>
      </x:c>
      <x:c r="C116" s="66" t="str">
        <x:v>MODELO_7_ANO</x:v>
      </x:c>
      <x:c r="D116" s="66" t="str">
        <x:v>GERAL</x:v>
      </x:c>
      <x:c r="E116" s="66" t="str">
        <x:v>Geral (total bruto)</x:v>
      </x:c>
      <x:c r="F116" s="66" t="n">
        <x:v>50</x:v>
      </x:c>
      <x:c r="G116" s="66" t="n">
        <x:v>9</x:v>
      </x:c>
      <x:c r="H116" s="67" t="n">
        <x:f>G116/F116</x:f>
        <x:v>0.18</x:v>
      </x:c>
      <x:c r="I116" s="68" t="n">
        <x:f>'Premissas'!$B$13</x:f>
        <x:v>-50</x:v>
      </x:c>
      <x:c r="J116" s="68" t="n">
        <x:f>'Premissas'!$G$12</x:f>
        <x:v>1</x:v>
      </x:c>
      <x:c r="K116" s="69" t="n">
        <x:f>ROUND(MAX('Premissas'!$B$5,L116-N116),1)</x:f>
        <x:v>200</x:v>
      </x:c>
      <x:c r="L116" s="69" t="n">
        <x:f>ROUND(MAX('Premissas'!$B$5,MIN('Premissas'!$B$6,'Premissas'!$B$5+('Premissas'!$B$6-'Premissas'!$B$5)*(3*H116^2-2*H116^3)+I116*4*H116*(1-H116))),1)</x:f>
        <x:v>221.8</x:v>
      </x:c>
      <x:c r="M116" s="69" t="n">
        <x:f>ROUND(MIN('Premissas'!$B$6,L116+N116),1)</x:f>
        <x:v>244.2</x:v>
      </x:c>
      <x:c r="N116" s="69" t="n">
        <x:f>ROUND('Premissas'!$B$7*J116*SQRT(10/F116)*4*H116*(1-H116),1)</x:f>
        <x:v>22.4</x:v>
      </x:c>
      <x:c r="O116" s="66" t="str">
        <x:v>PROVISÓRIA</x:v>
      </x:c>
    </x:row>
    <x:row r="117">
      <x:c r="A117" s="56" t="str">
        <x:v>Escala comum 7º–9º</x:v>
      </x:c>
      <x:c r="B117" s="56" t="str">
        <x:v>7º ano</x:v>
      </x:c>
      <x:c r="C117" s="56" t="str">
        <x:v>MODELO_7_ANO</x:v>
      </x:c>
      <x:c r="D117" s="56" t="str">
        <x:v>GERAL</x:v>
      </x:c>
      <x:c r="E117" s="56" t="str">
        <x:v>Geral (total bruto)</x:v>
      </x:c>
      <x:c r="F117" s="56" t="n">
        <x:v>50</x:v>
      </x:c>
      <x:c r="G117" s="56" t="n">
        <x:v>10</x:v>
      </x:c>
      <x:c r="H117" s="70" t="n">
        <x:f>G117/F117</x:f>
        <x:v>0.2</x:v>
      </x:c>
      <x:c r="I117" s="59" t="n">
        <x:f>'Premissas'!$B$13</x:f>
        <x:v>-50</x:v>
      </x:c>
      <x:c r="J117" s="59" t="n">
        <x:f>'Premissas'!$G$12</x:f>
        <x:v>1</x:v>
      </x:c>
      <x:c r="K117" s="57" t="n">
        <x:f>ROUND(MAX('Premissas'!$B$5,L117-N117),1)</x:f>
        <x:v>206.1</x:v>
      </x:c>
      <x:c r="L117" s="57" t="n">
        <x:f>ROUND(MAX('Premissas'!$B$5,MIN('Premissas'!$B$6,'Premissas'!$B$5+('Premissas'!$B$6-'Premissas'!$B$5)*(3*H117^2-2*H117^3)+I117*4*H117*(1-H117))),1)</x:f>
        <x:v>230.4</x:v>
      </x:c>
      <x:c r="M117" s="57" t="n">
        <x:f>ROUND(MIN('Premissas'!$B$6,L117+N117),1)</x:f>
        <x:v>254.7</x:v>
      </x:c>
      <x:c r="N117" s="57" t="n">
        <x:f>ROUND('Premissas'!$B$7*J117*SQRT(10/F117)*4*H117*(1-H117),1)</x:f>
        <x:v>24.3</x:v>
      </x:c>
      <x:c r="O117" s="56" t="str">
        <x:v>PROVISÓRIA</x:v>
      </x:c>
    </x:row>
    <x:row r="118">
      <x:c r="A118" s="66" t="str">
        <x:v>Escala comum 7º–9º</x:v>
      </x:c>
      <x:c r="B118" s="66" t="str">
        <x:v>7º ano</x:v>
      </x:c>
      <x:c r="C118" s="66" t="str">
        <x:v>MODELO_7_ANO</x:v>
      </x:c>
      <x:c r="D118" s="66" t="str">
        <x:v>GERAL</x:v>
      </x:c>
      <x:c r="E118" s="66" t="str">
        <x:v>Geral (total bruto)</x:v>
      </x:c>
      <x:c r="F118" s="66" t="n">
        <x:v>50</x:v>
      </x:c>
      <x:c r="G118" s="66" t="n">
        <x:v>11</x:v>
      </x:c>
      <x:c r="H118" s="67" t="n">
        <x:f>G118/F118</x:f>
        <x:v>0.22</x:v>
      </x:c>
      <x:c r="I118" s="68" t="n">
        <x:f>'Premissas'!$B$13</x:f>
        <x:v>-50</x:v>
      </x:c>
      <x:c r="J118" s="68" t="n">
        <x:f>'Premissas'!$G$12</x:f>
        <x:v>1</x:v>
      </x:c>
      <x:c r="K118" s="69" t="n">
        <x:f>ROUND(MAX('Premissas'!$B$5,L118-N118),1)</x:f>
        <x:v>213.9</x:v>
      </x:c>
      <x:c r="L118" s="69" t="n">
        <x:f>ROUND(MAX('Premissas'!$B$5,MIN('Premissas'!$B$6,'Premissas'!$B$5+('Premissas'!$B$6-'Premissas'!$B$5)*(3*H118^2-2*H118^3)+I118*4*H118*(1-H118))),1)</x:f>
        <x:v>240</x:v>
      </x:c>
      <x:c r="M118" s="69" t="n">
        <x:f>ROUND(MIN('Premissas'!$B$6,L118+N118),1)</x:f>
        <x:v>266.1</x:v>
      </x:c>
      <x:c r="N118" s="69" t="n">
        <x:f>ROUND('Premissas'!$B$7*J118*SQRT(10/F118)*4*H118*(1-H118),1)</x:f>
        <x:v>26.1</x:v>
      </x:c>
      <x:c r="O118" s="66" t="str">
        <x:v>PROVISÓRIA</x:v>
      </x:c>
    </x:row>
    <x:row r="119">
      <x:c r="A119" s="56" t="str">
        <x:v>Escala comum 7º–9º</x:v>
      </x:c>
      <x:c r="B119" s="56" t="str">
        <x:v>7º ano</x:v>
      </x:c>
      <x:c r="C119" s="56" t="str">
        <x:v>MODELO_7_ANO</x:v>
      </x:c>
      <x:c r="D119" s="56" t="str">
        <x:v>GERAL</x:v>
      </x:c>
      <x:c r="E119" s="56" t="str">
        <x:v>Geral (total bruto)</x:v>
      </x:c>
      <x:c r="F119" s="56" t="n">
        <x:v>50</x:v>
      </x:c>
      <x:c r="G119" s="56" t="n">
        <x:v>12</x:v>
      </x:c>
      <x:c r="H119" s="70" t="n">
        <x:f>G119/F119</x:f>
        <x:v>0.24</x:v>
      </x:c>
      <x:c r="I119" s="59" t="n">
        <x:f>'Premissas'!$B$13</x:f>
        <x:v>-50</x:v>
      </x:c>
      <x:c r="J119" s="59" t="n">
        <x:f>'Premissas'!$G$12</x:f>
        <x:v>1</x:v>
      </x:c>
      <x:c r="K119" s="57" t="n">
        <x:f>ROUND(MAX('Premissas'!$B$5,L119-N119),1)</x:f>
        <x:v>222.9</x:v>
      </x:c>
      <x:c r="L119" s="57" t="n">
        <x:f>ROUND(MAX('Premissas'!$B$5,MIN('Premissas'!$B$6,'Premissas'!$B$5+('Premissas'!$B$6-'Premissas'!$B$5)*(3*H119^2-2*H119^3)+I119*4*H119*(1-H119))),1)</x:f>
        <x:v>250.6</x:v>
      </x:c>
      <x:c r="M119" s="57" t="n">
        <x:f>ROUND(MIN('Premissas'!$B$6,L119+N119),1)</x:f>
        <x:v>278.3</x:v>
      </x:c>
      <x:c r="N119" s="57" t="n">
        <x:f>ROUND('Premissas'!$B$7*J119*SQRT(10/F119)*4*H119*(1-H119),1)</x:f>
        <x:v>27.7</x:v>
      </x:c>
      <x:c r="O119" s="56" t="str">
        <x:v>PROVISÓRIA</x:v>
      </x:c>
    </x:row>
    <x:row r="120">
      <x:c r="A120" s="66" t="str">
        <x:v>Escala comum 7º–9º</x:v>
      </x:c>
      <x:c r="B120" s="66" t="str">
        <x:v>7º ano</x:v>
      </x:c>
      <x:c r="C120" s="66" t="str">
        <x:v>MODELO_7_ANO</x:v>
      </x:c>
      <x:c r="D120" s="66" t="str">
        <x:v>GERAL</x:v>
      </x:c>
      <x:c r="E120" s="66" t="str">
        <x:v>Geral (total bruto)</x:v>
      </x:c>
      <x:c r="F120" s="66" t="n">
        <x:v>50</x:v>
      </x:c>
      <x:c r="G120" s="66" t="n">
        <x:v>13</x:v>
      </x:c>
      <x:c r="H120" s="67" t="n">
        <x:f>G120/F120</x:f>
        <x:v>0.26</x:v>
      </x:c>
      <x:c r="I120" s="68" t="n">
        <x:f>'Premissas'!$B$13</x:f>
        <x:v>-50</x:v>
      </x:c>
      <x:c r="J120" s="68" t="n">
        <x:f>'Premissas'!$G$12</x:f>
        <x:v>1</x:v>
      </x:c>
      <x:c r="K120" s="69" t="n">
        <x:f>ROUND(MAX('Premissas'!$B$5,L120-N120),1)</x:f>
        <x:v>232.8</x:v>
      </x:c>
      <x:c r="L120" s="69" t="n">
        <x:f>ROUND(MAX('Premissas'!$B$5,MIN('Premissas'!$B$6,'Premissas'!$B$5+('Premissas'!$B$6-'Premissas'!$B$5)*(3*H120^2-2*H120^3)+I120*4*H120*(1-H120))),1)</x:f>
        <x:v>262.1</x:v>
      </x:c>
      <x:c r="M120" s="69" t="n">
        <x:f>ROUND(MIN('Premissas'!$B$6,L120+N120),1)</x:f>
        <x:v>291.4</x:v>
      </x:c>
      <x:c r="N120" s="69" t="n">
        <x:f>ROUND('Premissas'!$B$7*J120*SQRT(10/F120)*4*H120*(1-H120),1)</x:f>
        <x:v>29.3</x:v>
      </x:c>
      <x:c r="O120" s="66" t="str">
        <x:v>PROVISÓRIA</x:v>
      </x:c>
    </x:row>
    <x:row r="121">
      <x:c r="A121" s="56" t="str">
        <x:v>Escala comum 7º–9º</x:v>
      </x:c>
      <x:c r="B121" s="56" t="str">
        <x:v>7º ano</x:v>
      </x:c>
      <x:c r="C121" s="56" t="str">
        <x:v>MODELO_7_ANO</x:v>
      </x:c>
      <x:c r="D121" s="56" t="str">
        <x:v>GERAL</x:v>
      </x:c>
      <x:c r="E121" s="56" t="str">
        <x:v>Geral (total bruto)</x:v>
      </x:c>
      <x:c r="F121" s="56" t="n">
        <x:v>50</x:v>
      </x:c>
      <x:c r="G121" s="56" t="n">
        <x:v>14</x:v>
      </x:c>
      <x:c r="H121" s="70" t="n">
        <x:f>G121/F121</x:f>
        <x:v>0.28</x:v>
      </x:c>
      <x:c r="I121" s="59" t="n">
        <x:f>'Premissas'!$B$13</x:f>
        <x:v>-50</x:v>
      </x:c>
      <x:c r="J121" s="59" t="n">
        <x:f>'Premissas'!$G$12</x:f>
        <x:v>1</x:v>
      </x:c>
      <x:c r="K121" s="57" t="n">
        <x:f>ROUND(MAX('Premissas'!$B$5,L121-N121),1)</x:f>
        <x:v>243.8</x:v>
      </x:c>
      <x:c r="L121" s="57" t="n">
        <x:f>ROUND(MAX('Premissas'!$B$5,MIN('Premissas'!$B$6,'Premissas'!$B$5+('Premissas'!$B$6-'Premissas'!$B$5)*(3*H121^2-2*H121^3)+I121*4*H121*(1-H121))),1)</x:f>
        <x:v>274.5</x:v>
      </x:c>
      <x:c r="M121" s="57" t="n">
        <x:f>ROUND(MIN('Premissas'!$B$6,L121+N121),1)</x:f>
        <x:v>305.2</x:v>
      </x:c>
      <x:c r="N121" s="57" t="n">
        <x:f>ROUND('Premissas'!$B$7*J121*SQRT(10/F121)*4*H121*(1-H121),1)</x:f>
        <x:v>30.7</x:v>
      </x:c>
      <x:c r="O121" s="56" t="str">
        <x:v>PROVISÓRIA</x:v>
      </x:c>
    </x:row>
    <x:row r="122">
      <x:c r="A122" s="66" t="str">
        <x:v>Escala comum 7º–9º</x:v>
      </x:c>
      <x:c r="B122" s="66" t="str">
        <x:v>7º ano</x:v>
      </x:c>
      <x:c r="C122" s="66" t="str">
        <x:v>MODELO_7_ANO</x:v>
      </x:c>
      <x:c r="D122" s="66" t="str">
        <x:v>GERAL</x:v>
      </x:c>
      <x:c r="E122" s="66" t="str">
        <x:v>Geral (total bruto)</x:v>
      </x:c>
      <x:c r="F122" s="66" t="n">
        <x:v>50</x:v>
      </x:c>
      <x:c r="G122" s="66" t="n">
        <x:v>15</x:v>
      </x:c>
      <x:c r="H122" s="67" t="n">
        <x:f>G122/F122</x:f>
        <x:v>0.3</x:v>
      </x:c>
      <x:c r="I122" s="68" t="n">
        <x:f>'Premissas'!$B$13</x:f>
        <x:v>-50</x:v>
      </x:c>
      <x:c r="J122" s="68" t="n">
        <x:f>'Premissas'!$G$12</x:f>
        <x:v>1</x:v>
      </x:c>
      <x:c r="K122" s="69" t="n">
        <x:f>ROUND(MAX('Premissas'!$B$5,L122-N122),1)</x:f>
        <x:v>255.7</x:v>
      </x:c>
      <x:c r="L122" s="69" t="n">
        <x:f>ROUND(MAX('Premissas'!$B$5,MIN('Premissas'!$B$6,'Premissas'!$B$5+('Premissas'!$B$6-'Premissas'!$B$5)*(3*H122^2-2*H122^3)+I122*4*H122*(1-H122))),1)</x:f>
        <x:v>287.6</x:v>
      </x:c>
      <x:c r="M122" s="69" t="n">
        <x:f>ROUND(MIN('Premissas'!$B$6,L122+N122),1)</x:f>
        <x:v>319.5</x:v>
      </x:c>
      <x:c r="N122" s="69" t="n">
        <x:f>ROUND('Premissas'!$B$7*J122*SQRT(10/F122)*4*H122*(1-H122),1)</x:f>
        <x:v>31.9</x:v>
      </x:c>
      <x:c r="O122" s="66" t="str">
        <x:v>PROVISÓRIA</x:v>
      </x:c>
    </x:row>
    <x:row r="123">
      <x:c r="A123" s="56" t="str">
        <x:v>Escala comum 7º–9º</x:v>
      </x:c>
      <x:c r="B123" s="56" t="str">
        <x:v>7º ano</x:v>
      </x:c>
      <x:c r="C123" s="56" t="str">
        <x:v>MODELO_7_ANO</x:v>
      </x:c>
      <x:c r="D123" s="56" t="str">
        <x:v>GERAL</x:v>
      </x:c>
      <x:c r="E123" s="56" t="str">
        <x:v>Geral (total bruto)</x:v>
      </x:c>
      <x:c r="F123" s="56" t="n">
        <x:v>50</x:v>
      </x:c>
      <x:c r="G123" s="56" t="n">
        <x:v>16</x:v>
      </x:c>
      <x:c r="H123" s="70" t="n">
        <x:f>G123/F123</x:f>
        <x:v>0.32</x:v>
      </x:c>
      <x:c r="I123" s="59" t="n">
        <x:f>'Premissas'!$B$13</x:f>
        <x:v>-50</x:v>
      </x:c>
      <x:c r="J123" s="59" t="n">
        <x:f>'Premissas'!$G$12</x:f>
        <x:v>1</x:v>
      </x:c>
      <x:c r="K123" s="57" t="n">
        <x:f>ROUND(MAX('Premissas'!$B$5,L123-N123),1)</x:f>
        <x:v>268.4</x:v>
      </x:c>
      <x:c r="L123" s="57" t="n">
        <x:f>ROUND(MAX('Premissas'!$B$5,MIN('Premissas'!$B$6,'Premissas'!$B$5+('Premissas'!$B$6-'Premissas'!$B$5)*(3*H123^2-2*H123^3)+I123*4*H123*(1-H123))),1)</x:f>
        <x:v>301.5</x:v>
      </x:c>
      <x:c r="M123" s="57" t="n">
        <x:f>ROUND(MIN('Premissas'!$B$6,L123+N123),1)</x:f>
        <x:v>334.6</x:v>
      </x:c>
      <x:c r="N123" s="57" t="n">
        <x:f>ROUND('Premissas'!$B$7*J123*SQRT(10/F123)*4*H123*(1-H123),1)</x:f>
        <x:v>33.1</x:v>
      </x:c>
      <x:c r="O123" s="56" t="str">
        <x:v>PROVISÓRIA</x:v>
      </x:c>
    </x:row>
    <x:row r="124">
      <x:c r="A124" s="66" t="str">
        <x:v>Escala comum 7º–9º</x:v>
      </x:c>
      <x:c r="B124" s="66" t="str">
        <x:v>7º ano</x:v>
      </x:c>
      <x:c r="C124" s="66" t="str">
        <x:v>MODELO_7_ANO</x:v>
      </x:c>
      <x:c r="D124" s="66" t="str">
        <x:v>GERAL</x:v>
      </x:c>
      <x:c r="E124" s="66" t="str">
        <x:v>Geral (total bruto)</x:v>
      </x:c>
      <x:c r="F124" s="66" t="n">
        <x:v>50</x:v>
      </x:c>
      <x:c r="G124" s="66" t="n">
        <x:v>17</x:v>
      </x:c>
      <x:c r="H124" s="67" t="n">
        <x:f>G124/F124</x:f>
        <x:v>0.34</x:v>
      </x:c>
      <x:c r="I124" s="68" t="n">
        <x:f>'Premissas'!$B$13</x:f>
        <x:v>-50</x:v>
      </x:c>
      <x:c r="J124" s="68" t="n">
        <x:f>'Premissas'!$G$12</x:f>
        <x:v>1</x:v>
      </x:c>
      <x:c r="K124" s="69" t="n">
        <x:f>ROUND(MAX('Premissas'!$B$5,L124-N124),1)</x:f>
        <x:v>281.9</x:v>
      </x:c>
      <x:c r="L124" s="69" t="n">
        <x:f>ROUND(MAX('Premissas'!$B$5,MIN('Premissas'!$B$6,'Premissas'!$B$5+('Premissas'!$B$6-'Premissas'!$B$5)*(3*H124^2-2*H124^3)+I124*4*H124*(1-H124))),1)</x:f>
        <x:v>316</x:v>
      </x:c>
      <x:c r="M124" s="69" t="n">
        <x:f>ROUND(MIN('Premissas'!$B$6,L124+N124),1)</x:f>
        <x:v>350.1</x:v>
      </x:c>
      <x:c r="N124" s="69" t="n">
        <x:f>ROUND('Premissas'!$B$7*J124*SQRT(10/F124)*4*H124*(1-H124),1)</x:f>
        <x:v>34.1</x:v>
      </x:c>
      <x:c r="O124" s="66" t="str">
        <x:v>PROVISÓRIA</x:v>
      </x:c>
    </x:row>
    <x:row r="125">
      <x:c r="A125" s="56" t="str">
        <x:v>Escala comum 7º–9º</x:v>
      </x:c>
      <x:c r="B125" s="56" t="str">
        <x:v>7º ano</x:v>
      </x:c>
      <x:c r="C125" s="56" t="str">
        <x:v>MODELO_7_ANO</x:v>
      </x:c>
      <x:c r="D125" s="56" t="str">
        <x:v>GERAL</x:v>
      </x:c>
      <x:c r="E125" s="56" t="str">
        <x:v>Geral (total bruto)</x:v>
      </x:c>
      <x:c r="F125" s="56" t="n">
        <x:v>50</x:v>
      </x:c>
      <x:c r="G125" s="56" t="n">
        <x:v>18</x:v>
      </x:c>
      <x:c r="H125" s="70" t="n">
        <x:f>G125/F125</x:f>
        <x:v>0.36</x:v>
      </x:c>
      <x:c r="I125" s="59" t="n">
        <x:f>'Premissas'!$B$13</x:f>
        <x:v>-50</x:v>
      </x:c>
      <x:c r="J125" s="59" t="n">
        <x:f>'Premissas'!$G$12</x:f>
        <x:v>1</x:v>
      </x:c>
      <x:c r="K125" s="57" t="n">
        <x:f>ROUND(MAX('Premissas'!$B$5,L125-N125),1)</x:f>
        <x:v>296.2</x:v>
      </x:c>
      <x:c r="L125" s="57" t="n">
        <x:f>ROUND(MAX('Premissas'!$B$5,MIN('Premissas'!$B$6,'Premissas'!$B$5+('Premissas'!$B$6-'Premissas'!$B$5)*(3*H125^2-2*H125^3)+I125*4*H125*(1-H125))),1)</x:f>
        <x:v>331.2</x:v>
      </x:c>
      <x:c r="M125" s="57" t="n">
        <x:f>ROUND(MIN('Premissas'!$B$6,L125+N125),1)</x:f>
        <x:v>366.2</x:v>
      </x:c>
      <x:c r="N125" s="57" t="n">
        <x:f>ROUND('Premissas'!$B$7*J125*SQRT(10/F125)*4*H125*(1-H125),1)</x:f>
        <x:v>35</x:v>
      </x:c>
      <x:c r="O125" s="56" t="str">
        <x:v>PROVISÓRIA</x:v>
      </x:c>
    </x:row>
    <x:row r="126">
      <x:c r="A126" s="66" t="str">
        <x:v>Escala comum 7º–9º</x:v>
      </x:c>
      <x:c r="B126" s="66" t="str">
        <x:v>7º ano</x:v>
      </x:c>
      <x:c r="C126" s="66" t="str">
        <x:v>MODELO_7_ANO</x:v>
      </x:c>
      <x:c r="D126" s="66" t="str">
        <x:v>GERAL</x:v>
      </x:c>
      <x:c r="E126" s="66" t="str">
        <x:v>Geral (total bruto)</x:v>
      </x:c>
      <x:c r="F126" s="66" t="n">
        <x:v>50</x:v>
      </x:c>
      <x:c r="G126" s="66" t="n">
        <x:v>19</x:v>
      </x:c>
      <x:c r="H126" s="67" t="n">
        <x:f>G126/F126</x:f>
        <x:v>0.38</x:v>
      </x:c>
      <x:c r="I126" s="68" t="n">
        <x:f>'Premissas'!$B$13</x:f>
        <x:v>-50</x:v>
      </x:c>
      <x:c r="J126" s="68" t="n">
        <x:f>'Premissas'!$G$12</x:f>
        <x:v>1</x:v>
      </x:c>
      <x:c r="K126" s="69" t="n">
        <x:f>ROUND(MAX('Premissas'!$B$5,L126-N126),1)</x:f>
        <x:v>311.2</x:v>
      </x:c>
      <x:c r="L126" s="69" t="n">
        <x:f>ROUND(MAX('Premissas'!$B$5,MIN('Premissas'!$B$6,'Premissas'!$B$5+('Premissas'!$B$6-'Premissas'!$B$5)*(3*H126^2-2*H126^3)+I126*4*H126*(1-H126))),1)</x:f>
        <x:v>347</x:v>
      </x:c>
      <x:c r="M126" s="69" t="n">
        <x:f>ROUND(MIN('Premissas'!$B$6,L126+N126),1)</x:f>
        <x:v>382.8</x:v>
      </x:c>
      <x:c r="N126" s="69" t="n">
        <x:f>ROUND('Premissas'!$B$7*J126*SQRT(10/F126)*4*H126*(1-H126),1)</x:f>
        <x:v>35.8</x:v>
      </x:c>
      <x:c r="O126" s="66" t="str">
        <x:v>PROVISÓRIA</x:v>
      </x:c>
    </x:row>
    <x:row r="127">
      <x:c r="A127" s="56" t="str">
        <x:v>Escala comum 7º–9º</x:v>
      </x:c>
      <x:c r="B127" s="56" t="str">
        <x:v>7º ano</x:v>
      </x:c>
      <x:c r="C127" s="56" t="str">
        <x:v>MODELO_7_ANO</x:v>
      </x:c>
      <x:c r="D127" s="56" t="str">
        <x:v>GERAL</x:v>
      </x:c>
      <x:c r="E127" s="56" t="str">
        <x:v>Geral (total bruto)</x:v>
      </x:c>
      <x:c r="F127" s="56" t="n">
        <x:v>50</x:v>
      </x:c>
      <x:c r="G127" s="56" t="n">
        <x:v>20</x:v>
      </x:c>
      <x:c r="H127" s="70" t="n">
        <x:f>G127/F127</x:f>
        <x:v>0.4</x:v>
      </x:c>
      <x:c r="I127" s="59" t="n">
        <x:f>'Premissas'!$B$13</x:f>
        <x:v>-50</x:v>
      </x:c>
      <x:c r="J127" s="59" t="n">
        <x:f>'Premissas'!$G$12</x:f>
        <x:v>1</x:v>
      </x:c>
      <x:c r="K127" s="57" t="n">
        <x:f>ROUND(MAX('Premissas'!$B$5,L127-N127),1)</x:f>
        <x:v>326.7</x:v>
      </x:c>
      <x:c r="L127" s="57" t="n">
        <x:f>ROUND(MAX('Premissas'!$B$5,MIN('Premissas'!$B$6,'Premissas'!$B$5+('Premissas'!$B$6-'Premissas'!$B$5)*(3*H127^2-2*H127^3)+I127*4*H127*(1-H127))),1)</x:f>
        <x:v>363.2</x:v>
      </x:c>
      <x:c r="M127" s="57" t="n">
        <x:f>ROUND(MIN('Premissas'!$B$6,L127+N127),1)</x:f>
        <x:v>399.7</x:v>
      </x:c>
      <x:c r="N127" s="57" t="n">
        <x:f>ROUND('Premissas'!$B$7*J127*SQRT(10/F127)*4*H127*(1-H127),1)</x:f>
        <x:v>36.5</x:v>
      </x:c>
      <x:c r="O127" s="56" t="str">
        <x:v>PROVISÓRIA</x:v>
      </x:c>
    </x:row>
    <x:row r="128">
      <x:c r="A128" s="66" t="str">
        <x:v>Escala comum 7º–9º</x:v>
      </x:c>
      <x:c r="B128" s="66" t="str">
        <x:v>7º ano</x:v>
      </x:c>
      <x:c r="C128" s="66" t="str">
        <x:v>MODELO_7_ANO</x:v>
      </x:c>
      <x:c r="D128" s="66" t="str">
        <x:v>GERAL</x:v>
      </x:c>
      <x:c r="E128" s="66" t="str">
        <x:v>Geral (total bruto)</x:v>
      </x:c>
      <x:c r="F128" s="66" t="n">
        <x:v>50</x:v>
      </x:c>
      <x:c r="G128" s="66" t="n">
        <x:v>21</x:v>
      </x:c>
      <x:c r="H128" s="67" t="n">
        <x:f>G128/F128</x:f>
        <x:v>0.42</x:v>
      </x:c>
      <x:c r="I128" s="68" t="n">
        <x:f>'Premissas'!$B$13</x:f>
        <x:v>-50</x:v>
      </x:c>
      <x:c r="J128" s="68" t="n">
        <x:f>'Premissas'!$G$12</x:f>
        <x:v>1</x:v>
      </x:c>
      <x:c r="K128" s="69" t="n">
        <x:f>ROUND(MAX('Premissas'!$B$5,L128-N128),1)</x:f>
        <x:v>342.9</x:v>
      </x:c>
      <x:c r="L128" s="69" t="n">
        <x:f>ROUND(MAX('Premissas'!$B$5,MIN('Premissas'!$B$6,'Premissas'!$B$5+('Premissas'!$B$6-'Premissas'!$B$5)*(3*H128^2-2*H128^3)+I128*4*H128*(1-H128))),1)</x:f>
        <x:v>379.9</x:v>
      </x:c>
      <x:c r="M128" s="69" t="n">
        <x:f>ROUND(MIN('Premissas'!$B$6,L128+N128),1)</x:f>
        <x:v>416.9</x:v>
      </x:c>
      <x:c r="N128" s="69" t="n">
        <x:f>ROUND('Premissas'!$B$7*J128*SQRT(10/F128)*4*H128*(1-H128),1)</x:f>
        <x:v>37</x:v>
      </x:c>
      <x:c r="O128" s="66" t="str">
        <x:v>PROVISÓRIA</x:v>
      </x:c>
    </x:row>
    <x:row r="129">
      <x:c r="A129" s="56" t="str">
        <x:v>Escala comum 7º–9º</x:v>
      </x:c>
      <x:c r="B129" s="56" t="str">
        <x:v>7º ano</x:v>
      </x:c>
      <x:c r="C129" s="56" t="str">
        <x:v>MODELO_7_ANO</x:v>
      </x:c>
      <x:c r="D129" s="56" t="str">
        <x:v>GERAL</x:v>
      </x:c>
      <x:c r="E129" s="56" t="str">
        <x:v>Geral (total bruto)</x:v>
      </x:c>
      <x:c r="F129" s="56" t="n">
        <x:v>50</x:v>
      </x:c>
      <x:c r="G129" s="56" t="n">
        <x:v>22</x:v>
      </x:c>
      <x:c r="H129" s="70" t="n">
        <x:f>G129/F129</x:f>
        <x:v>0.44</x:v>
      </x:c>
      <x:c r="I129" s="59" t="n">
        <x:f>'Premissas'!$B$13</x:f>
        <x:v>-50</x:v>
      </x:c>
      <x:c r="J129" s="59" t="n">
        <x:f>'Premissas'!$G$12</x:f>
        <x:v>1</x:v>
      </x:c>
      <x:c r="K129" s="57" t="n">
        <x:f>ROUND(MAX('Premissas'!$B$5,L129-N129),1)</x:f>
        <x:v>359.5</x:v>
      </x:c>
      <x:c r="L129" s="57" t="n">
        <x:f>ROUND(MAX('Premissas'!$B$5,MIN('Premissas'!$B$6,'Premissas'!$B$5+('Premissas'!$B$6-'Premissas'!$B$5)*(3*H129^2-2*H129^3)+I129*4*H129*(1-H129))),1)</x:f>
        <x:v>397</x:v>
      </x:c>
      <x:c r="M129" s="57" t="n">
        <x:f>ROUND(MIN('Premissas'!$B$6,L129+N129),1)</x:f>
        <x:v>434.5</x:v>
      </x:c>
      <x:c r="N129" s="57" t="n">
        <x:f>ROUND('Premissas'!$B$7*J129*SQRT(10/F129)*4*H129*(1-H129),1)</x:f>
        <x:v>37.5</x:v>
      </x:c>
      <x:c r="O129" s="56" t="str">
        <x:v>PROVISÓRIA</x:v>
      </x:c>
    </x:row>
    <x:row r="130">
      <x:c r="A130" s="66" t="str">
        <x:v>Escala comum 7º–9º</x:v>
      </x:c>
      <x:c r="B130" s="66" t="str">
        <x:v>7º ano</x:v>
      </x:c>
      <x:c r="C130" s="66" t="str">
        <x:v>MODELO_7_ANO</x:v>
      </x:c>
      <x:c r="D130" s="66" t="str">
        <x:v>GERAL</x:v>
      </x:c>
      <x:c r="E130" s="66" t="str">
        <x:v>Geral (total bruto)</x:v>
      </x:c>
      <x:c r="F130" s="66" t="n">
        <x:v>50</x:v>
      </x:c>
      <x:c r="G130" s="66" t="n">
        <x:v>23</x:v>
      </x:c>
      <x:c r="H130" s="67" t="n">
        <x:f>G130/F130</x:f>
        <x:v>0.46</x:v>
      </x:c>
      <x:c r="I130" s="68" t="n">
        <x:f>'Premissas'!$B$13</x:f>
        <x:v>-50</x:v>
      </x:c>
      <x:c r="J130" s="68" t="n">
        <x:f>'Premissas'!$G$12</x:f>
        <x:v>1</x:v>
      </x:c>
      <x:c r="K130" s="69" t="n">
        <x:f>ROUND(MAX('Premissas'!$B$5,L130-N130),1)</x:f>
        <x:v>376.6</x:v>
      </x:c>
      <x:c r="L130" s="69" t="n">
        <x:f>ROUND(MAX('Premissas'!$B$5,MIN('Premissas'!$B$6,'Premissas'!$B$5+('Premissas'!$B$6-'Premissas'!$B$5)*(3*H130^2-2*H130^3)+I130*4*H130*(1-H130))),1)</x:f>
        <x:v>414.4</x:v>
      </x:c>
      <x:c r="M130" s="69" t="n">
        <x:f>ROUND(MIN('Premissas'!$B$6,L130+N130),1)</x:f>
        <x:v>452.2</x:v>
      </x:c>
      <x:c r="N130" s="69" t="n">
        <x:f>ROUND('Premissas'!$B$7*J130*SQRT(10/F130)*4*H130*(1-H130),1)</x:f>
        <x:v>37.8</x:v>
      </x:c>
      <x:c r="O130" s="66" t="str">
        <x:v>PROVISÓRIA</x:v>
      </x:c>
    </x:row>
    <x:row r="131">
      <x:c r="A131" s="56" t="str">
        <x:v>Escala comum 7º–9º</x:v>
      </x:c>
      <x:c r="B131" s="56" t="str">
        <x:v>7º ano</x:v>
      </x:c>
      <x:c r="C131" s="56" t="str">
        <x:v>MODELO_7_ANO</x:v>
      </x:c>
      <x:c r="D131" s="56" t="str">
        <x:v>GERAL</x:v>
      </x:c>
      <x:c r="E131" s="56" t="str">
        <x:v>Geral (total bruto)</x:v>
      </x:c>
      <x:c r="F131" s="56" t="n">
        <x:v>50</x:v>
      </x:c>
      <x:c r="G131" s="56" t="n">
        <x:v>24</x:v>
      </x:c>
      <x:c r="H131" s="70" t="n">
        <x:f>G131/F131</x:f>
        <x:v>0.48</x:v>
      </x:c>
      <x:c r="I131" s="59" t="n">
        <x:f>'Premissas'!$B$13</x:f>
        <x:v>-50</x:v>
      </x:c>
      <x:c r="J131" s="59" t="n">
        <x:f>'Premissas'!$G$12</x:f>
        <x:v>1</x:v>
      </x:c>
      <x:c r="K131" s="57" t="n">
        <x:f>ROUND(MAX('Premissas'!$B$5,L131-N131),1)</x:f>
        <x:v>394.1</x:v>
      </x:c>
      <x:c r="L131" s="57" t="n">
        <x:f>ROUND(MAX('Premissas'!$B$5,MIN('Premissas'!$B$6,'Premissas'!$B$5+('Premissas'!$B$6-'Premissas'!$B$5)*(3*H131^2-2*H131^3)+I131*4*H131*(1-H131))),1)</x:f>
        <x:v>432.1</x:v>
      </x:c>
      <x:c r="M131" s="57" t="n">
        <x:f>ROUND(MIN('Premissas'!$B$6,L131+N131),1)</x:f>
        <x:v>470.1</x:v>
      </x:c>
      <x:c r="N131" s="57" t="n">
        <x:f>ROUND('Premissas'!$B$7*J131*SQRT(10/F131)*4*H131*(1-H131),1)</x:f>
        <x:v>38</x:v>
      </x:c>
      <x:c r="O131" s="56" t="str">
        <x:v>PROVISÓRIA</x:v>
      </x:c>
    </x:row>
    <x:row r="132">
      <x:c r="A132" s="66" t="str">
        <x:v>Escala comum 7º–9º</x:v>
      </x:c>
      <x:c r="B132" s="66" t="str">
        <x:v>7º ano</x:v>
      </x:c>
      <x:c r="C132" s="66" t="str">
        <x:v>MODELO_7_ANO</x:v>
      </x:c>
      <x:c r="D132" s="66" t="str">
        <x:v>GERAL</x:v>
      </x:c>
      <x:c r="E132" s="66" t="str">
        <x:v>Geral (total bruto)</x:v>
      </x:c>
      <x:c r="F132" s="66" t="n">
        <x:v>50</x:v>
      </x:c>
      <x:c r="G132" s="66" t="n">
        <x:v>25</x:v>
      </x:c>
      <x:c r="H132" s="67" t="n">
        <x:f>G132/F132</x:f>
        <x:v>0.5</x:v>
      </x:c>
      <x:c r="I132" s="68" t="n">
        <x:f>'Premissas'!$B$13</x:f>
        <x:v>-50</x:v>
      </x:c>
      <x:c r="J132" s="68" t="n">
        <x:f>'Premissas'!$G$12</x:f>
        <x:v>1</x:v>
      </x:c>
      <x:c r="K132" s="69" t="n">
        <x:f>ROUND(MAX('Premissas'!$B$5,L132-N132),1)</x:f>
        <x:v>412</x:v>
      </x:c>
      <x:c r="L132" s="69" t="n">
        <x:f>ROUND(MAX('Premissas'!$B$5,MIN('Premissas'!$B$6,'Premissas'!$B$5+('Premissas'!$B$6-'Premissas'!$B$5)*(3*H132^2-2*H132^3)+I132*4*H132*(1-H132))),1)</x:f>
        <x:v>450</x:v>
      </x:c>
      <x:c r="M132" s="69" t="n">
        <x:f>ROUND(MIN('Premissas'!$B$6,L132+N132),1)</x:f>
        <x:v>488</x:v>
      </x:c>
      <x:c r="N132" s="69" t="n">
        <x:f>ROUND('Premissas'!$B$7*J132*SQRT(10/F132)*4*H132*(1-H132),1)</x:f>
        <x:v>38</x:v>
      </x:c>
      <x:c r="O132" s="66" t="str">
        <x:v>PROVISÓRIA</x:v>
      </x:c>
    </x:row>
    <x:row r="133">
      <x:c r="A133" s="56" t="str">
        <x:v>Escala comum 7º–9º</x:v>
      </x:c>
      <x:c r="B133" s="56" t="str">
        <x:v>7º ano</x:v>
      </x:c>
      <x:c r="C133" s="56" t="str">
        <x:v>MODELO_7_ANO</x:v>
      </x:c>
      <x:c r="D133" s="56" t="str">
        <x:v>GERAL</x:v>
      </x:c>
      <x:c r="E133" s="56" t="str">
        <x:v>Geral (total bruto)</x:v>
      </x:c>
      <x:c r="F133" s="56" t="n">
        <x:v>50</x:v>
      </x:c>
      <x:c r="G133" s="56" t="n">
        <x:v>26</x:v>
      </x:c>
      <x:c r="H133" s="70" t="n">
        <x:f>G133/F133</x:f>
        <x:v>0.52</x:v>
      </x:c>
      <x:c r="I133" s="59" t="n">
        <x:f>'Premissas'!$B$13</x:f>
        <x:v>-50</x:v>
      </x:c>
      <x:c r="J133" s="59" t="n">
        <x:f>'Premissas'!$G$12</x:f>
        <x:v>1</x:v>
      </x:c>
      <x:c r="K133" s="57" t="n">
        <x:f>ROUND(MAX('Premissas'!$B$5,L133-N133),1)</x:f>
        <x:v>430.1</x:v>
      </x:c>
      <x:c r="L133" s="57" t="n">
        <x:f>ROUND(MAX('Premissas'!$B$5,MIN('Premissas'!$B$6,'Premissas'!$B$5+('Premissas'!$B$6-'Premissas'!$B$5)*(3*H133^2-2*H133^3)+I133*4*H133*(1-H133))),1)</x:f>
        <x:v>468.1</x:v>
      </x:c>
      <x:c r="M133" s="57" t="n">
        <x:f>ROUND(MIN('Premissas'!$B$6,L133+N133),1)</x:f>
        <x:v>506.1</x:v>
      </x:c>
      <x:c r="N133" s="57" t="n">
        <x:f>ROUND('Premissas'!$B$7*J133*SQRT(10/F133)*4*H133*(1-H133),1)</x:f>
        <x:v>38</x:v>
      </x:c>
      <x:c r="O133" s="56" t="str">
        <x:v>PROVISÓRIA</x:v>
      </x:c>
    </x:row>
    <x:row r="134">
      <x:c r="A134" s="66" t="str">
        <x:v>Escala comum 7º–9º</x:v>
      </x:c>
      <x:c r="B134" s="66" t="str">
        <x:v>7º ano</x:v>
      </x:c>
      <x:c r="C134" s="66" t="str">
        <x:v>MODELO_7_ANO</x:v>
      </x:c>
      <x:c r="D134" s="66" t="str">
        <x:v>GERAL</x:v>
      </x:c>
      <x:c r="E134" s="66" t="str">
        <x:v>Geral (total bruto)</x:v>
      </x:c>
      <x:c r="F134" s="66" t="n">
        <x:v>50</x:v>
      </x:c>
      <x:c r="G134" s="66" t="n">
        <x:v>27</x:v>
      </x:c>
      <x:c r="H134" s="67" t="n">
        <x:f>G134/F134</x:f>
        <x:v>0.54</x:v>
      </x:c>
      <x:c r="I134" s="68" t="n">
        <x:f>'Premissas'!$B$13</x:f>
        <x:v>-50</x:v>
      </x:c>
      <x:c r="J134" s="68" t="n">
        <x:f>'Premissas'!$G$12</x:f>
        <x:v>1</x:v>
      </x:c>
      <x:c r="K134" s="69" t="n">
        <x:f>ROUND(MAX('Premissas'!$B$5,L134-N134),1)</x:f>
        <x:v>448.4</x:v>
      </x:c>
      <x:c r="L134" s="69" t="n">
        <x:f>ROUND(MAX('Premissas'!$B$5,MIN('Premissas'!$B$6,'Premissas'!$B$5+('Premissas'!$B$6-'Premissas'!$B$5)*(3*H134^2-2*H134^3)+I134*4*H134*(1-H134))),1)</x:f>
        <x:v>486.2</x:v>
      </x:c>
      <x:c r="M134" s="69" t="n">
        <x:f>ROUND(MIN('Premissas'!$B$6,L134+N134),1)</x:f>
        <x:v>524</x:v>
      </x:c>
      <x:c r="N134" s="69" t="n">
        <x:f>ROUND('Premissas'!$B$7*J134*SQRT(10/F134)*4*H134*(1-H134),1)</x:f>
        <x:v>37.8</x:v>
      </x:c>
      <x:c r="O134" s="66" t="str">
        <x:v>PROVISÓRIA</x:v>
      </x:c>
    </x:row>
    <x:row r="135">
      <x:c r="A135" s="56" t="str">
        <x:v>Escala comum 7º–9º</x:v>
      </x:c>
      <x:c r="B135" s="56" t="str">
        <x:v>7º ano</x:v>
      </x:c>
      <x:c r="C135" s="56" t="str">
        <x:v>MODELO_7_ANO</x:v>
      </x:c>
      <x:c r="D135" s="56" t="str">
        <x:v>GERAL</x:v>
      </x:c>
      <x:c r="E135" s="56" t="str">
        <x:v>Geral (total bruto)</x:v>
      </x:c>
      <x:c r="F135" s="56" t="n">
        <x:v>50</x:v>
      </x:c>
      <x:c r="G135" s="56" t="n">
        <x:v>28</x:v>
      </x:c>
      <x:c r="H135" s="70" t="n">
        <x:f>G135/F135</x:f>
        <x:v>0.56</x:v>
      </x:c>
      <x:c r="I135" s="59" t="n">
        <x:f>'Premissas'!$B$13</x:f>
        <x:v>-50</x:v>
      </x:c>
      <x:c r="J135" s="59" t="n">
        <x:f>'Premissas'!$G$12</x:f>
        <x:v>1</x:v>
      </x:c>
      <x:c r="K135" s="57" t="n">
        <x:f>ROUND(MAX('Premissas'!$B$5,L135-N135),1)</x:f>
        <x:v>467</x:v>
      </x:c>
      <x:c r="L135" s="57" t="n">
        <x:f>ROUND(MAX('Premissas'!$B$5,MIN('Premissas'!$B$6,'Premissas'!$B$5+('Premissas'!$B$6-'Premissas'!$B$5)*(3*H135^2-2*H135^3)+I135*4*H135*(1-H135))),1)</x:f>
        <x:v>504.5</x:v>
      </x:c>
      <x:c r="M135" s="57" t="n">
        <x:f>ROUND(MIN('Premissas'!$B$6,L135+N135),1)</x:f>
        <x:v>542</x:v>
      </x:c>
      <x:c r="N135" s="57" t="n">
        <x:f>ROUND('Premissas'!$B$7*J135*SQRT(10/F135)*4*H135*(1-H135),1)</x:f>
        <x:v>37.5</x:v>
      </x:c>
      <x:c r="O135" s="56" t="str">
        <x:v>PROVISÓRIA</x:v>
      </x:c>
    </x:row>
    <x:row r="136">
      <x:c r="A136" s="66" t="str">
        <x:v>Escala comum 7º–9º</x:v>
      </x:c>
      <x:c r="B136" s="66" t="str">
        <x:v>7º ano</x:v>
      </x:c>
      <x:c r="C136" s="66" t="str">
        <x:v>MODELO_7_ANO</x:v>
      </x:c>
      <x:c r="D136" s="66" t="str">
        <x:v>GERAL</x:v>
      </x:c>
      <x:c r="E136" s="66" t="str">
        <x:v>Geral (total bruto)</x:v>
      </x:c>
      <x:c r="F136" s="66" t="n">
        <x:v>50</x:v>
      </x:c>
      <x:c r="G136" s="66" t="n">
        <x:v>29</x:v>
      </x:c>
      <x:c r="H136" s="67" t="n">
        <x:f>G136/F136</x:f>
        <x:v>0.58</x:v>
      </x:c>
      <x:c r="I136" s="68" t="n">
        <x:f>'Premissas'!$B$13</x:f>
        <x:v>-50</x:v>
      </x:c>
      <x:c r="J136" s="68" t="n">
        <x:f>'Premissas'!$G$12</x:f>
        <x:v>1</x:v>
      </x:c>
      <x:c r="K136" s="69" t="n">
        <x:f>ROUND(MAX('Premissas'!$B$5,L136-N136),1)</x:f>
        <x:v>485.7</x:v>
      </x:c>
      <x:c r="L136" s="69" t="n">
        <x:f>ROUND(MAX('Premissas'!$B$5,MIN('Premissas'!$B$6,'Premissas'!$B$5+('Premissas'!$B$6-'Premissas'!$B$5)*(3*H136^2-2*H136^3)+I136*4*H136*(1-H136))),1)</x:f>
        <x:v>522.7</x:v>
      </x:c>
      <x:c r="M136" s="69" t="n">
        <x:f>ROUND(MIN('Premissas'!$B$6,L136+N136),1)</x:f>
        <x:v>559.7</x:v>
      </x:c>
      <x:c r="N136" s="69" t="n">
        <x:f>ROUND('Premissas'!$B$7*J136*SQRT(10/F136)*4*H136*(1-H136),1)</x:f>
        <x:v>37</x:v>
      </x:c>
      <x:c r="O136" s="66" t="str">
        <x:v>PROVISÓRIA</x:v>
      </x:c>
    </x:row>
    <x:row r="137">
      <x:c r="A137" s="56" t="str">
        <x:v>Escala comum 7º–9º</x:v>
      </x:c>
      <x:c r="B137" s="56" t="str">
        <x:v>7º ano</x:v>
      </x:c>
      <x:c r="C137" s="56" t="str">
        <x:v>MODELO_7_ANO</x:v>
      </x:c>
      <x:c r="D137" s="56" t="str">
        <x:v>GERAL</x:v>
      </x:c>
      <x:c r="E137" s="56" t="str">
        <x:v>Geral (total bruto)</x:v>
      </x:c>
      <x:c r="F137" s="56" t="n">
        <x:v>50</x:v>
      </x:c>
      <x:c r="G137" s="56" t="n">
        <x:v>30</x:v>
      </x:c>
      <x:c r="H137" s="70" t="n">
        <x:f>G137/F137</x:f>
        <x:v>0.6</x:v>
      </x:c>
      <x:c r="I137" s="59" t="n">
        <x:f>'Premissas'!$B$13</x:f>
        <x:v>-50</x:v>
      </x:c>
      <x:c r="J137" s="59" t="n">
        <x:f>'Premissas'!$G$12</x:f>
        <x:v>1</x:v>
      </x:c>
      <x:c r="K137" s="57" t="n">
        <x:f>ROUND(MAX('Premissas'!$B$5,L137-N137),1)</x:f>
        <x:v>504.3</x:v>
      </x:c>
      <x:c r="L137" s="57" t="n">
        <x:f>ROUND(MAX('Premissas'!$B$5,MIN('Premissas'!$B$6,'Premissas'!$B$5+('Premissas'!$B$6-'Premissas'!$B$5)*(3*H137^2-2*H137^3)+I137*4*H137*(1-H137))),1)</x:f>
        <x:v>540.8</x:v>
      </x:c>
      <x:c r="M137" s="57" t="n">
        <x:f>ROUND(MIN('Premissas'!$B$6,L137+N137),1)</x:f>
        <x:v>577.3</x:v>
      </x:c>
      <x:c r="N137" s="57" t="n">
        <x:f>ROUND('Premissas'!$B$7*J137*SQRT(10/F137)*4*H137*(1-H137),1)</x:f>
        <x:v>36.5</x:v>
      </x:c>
      <x:c r="O137" s="56" t="str">
        <x:v>PROVISÓRIA</x:v>
      </x:c>
    </x:row>
    <x:row r="138">
      <x:c r="A138" s="66" t="str">
        <x:v>Escala comum 7º–9º</x:v>
      </x:c>
      <x:c r="B138" s="66" t="str">
        <x:v>7º ano</x:v>
      </x:c>
      <x:c r="C138" s="66" t="str">
        <x:v>MODELO_7_ANO</x:v>
      </x:c>
      <x:c r="D138" s="66" t="str">
        <x:v>GERAL</x:v>
      </x:c>
      <x:c r="E138" s="66" t="str">
        <x:v>Geral (total bruto)</x:v>
      </x:c>
      <x:c r="F138" s="66" t="n">
        <x:v>50</x:v>
      </x:c>
      <x:c r="G138" s="66" t="n">
        <x:v>31</x:v>
      </x:c>
      <x:c r="H138" s="67" t="n">
        <x:f>G138/F138</x:f>
        <x:v>0.62</x:v>
      </x:c>
      <x:c r="I138" s="68" t="n">
        <x:f>'Premissas'!$B$13</x:f>
        <x:v>-50</x:v>
      </x:c>
      <x:c r="J138" s="68" t="n">
        <x:f>'Premissas'!$G$12</x:f>
        <x:v>1</x:v>
      </x:c>
      <x:c r="K138" s="69" t="n">
        <x:f>ROUND(MAX('Premissas'!$B$5,L138-N138),1)</x:f>
        <x:v>523</x:v>
      </x:c>
      <x:c r="L138" s="69" t="n">
        <x:f>ROUND(MAX('Premissas'!$B$5,MIN('Premissas'!$B$6,'Premissas'!$B$5+('Premissas'!$B$6-'Premissas'!$B$5)*(3*H138^2-2*H138^3)+I138*4*H138*(1-H138))),1)</x:f>
        <x:v>558.8</x:v>
      </x:c>
      <x:c r="M138" s="69" t="n">
        <x:f>ROUND(MIN('Premissas'!$B$6,L138+N138),1)</x:f>
        <x:v>594.6</x:v>
      </x:c>
      <x:c r="N138" s="69" t="n">
        <x:f>ROUND('Premissas'!$B$7*J138*SQRT(10/F138)*4*H138*(1-H138),1)</x:f>
        <x:v>35.8</x:v>
      </x:c>
      <x:c r="O138" s="66" t="str">
        <x:v>PROVISÓRIA</x:v>
      </x:c>
    </x:row>
    <x:row r="139">
      <x:c r="A139" s="56" t="str">
        <x:v>Escala comum 7º–9º</x:v>
      </x:c>
      <x:c r="B139" s="56" t="str">
        <x:v>7º ano</x:v>
      </x:c>
      <x:c r="C139" s="56" t="str">
        <x:v>MODELO_7_ANO</x:v>
      </x:c>
      <x:c r="D139" s="56" t="str">
        <x:v>GERAL</x:v>
      </x:c>
      <x:c r="E139" s="56" t="str">
        <x:v>Geral (total bruto)</x:v>
      </x:c>
      <x:c r="F139" s="56" t="n">
        <x:v>50</x:v>
      </x:c>
      <x:c r="G139" s="56" t="n">
        <x:v>32</x:v>
      </x:c>
      <x:c r="H139" s="70" t="n">
        <x:f>G139/F139</x:f>
        <x:v>0.64</x:v>
      </x:c>
      <x:c r="I139" s="59" t="n">
        <x:f>'Premissas'!$B$13</x:f>
        <x:v>-50</x:v>
      </x:c>
      <x:c r="J139" s="59" t="n">
        <x:f>'Premissas'!$G$12</x:f>
        <x:v>1</x:v>
      </x:c>
      <x:c r="K139" s="57" t="n">
        <x:f>ROUND(MAX('Premissas'!$B$5,L139-N139),1)</x:f>
        <x:v>541.6</x:v>
      </x:c>
      <x:c r="L139" s="57" t="n">
        <x:f>ROUND(MAX('Premissas'!$B$5,MIN('Premissas'!$B$6,'Premissas'!$B$5+('Premissas'!$B$6-'Premissas'!$B$5)*(3*H139^2-2*H139^3)+I139*4*H139*(1-H139))),1)</x:f>
        <x:v>576.6</x:v>
      </x:c>
      <x:c r="M139" s="57" t="n">
        <x:f>ROUND(MIN('Premissas'!$B$6,L139+N139),1)</x:f>
        <x:v>611.6</x:v>
      </x:c>
      <x:c r="N139" s="57" t="n">
        <x:f>ROUND('Premissas'!$B$7*J139*SQRT(10/F139)*4*H139*(1-H139),1)</x:f>
        <x:v>35</x:v>
      </x:c>
      <x:c r="O139" s="56" t="str">
        <x:v>PROVISÓRIA</x:v>
      </x:c>
    </x:row>
    <x:row r="140">
      <x:c r="A140" s="66" t="str">
        <x:v>Escala comum 7º–9º</x:v>
      </x:c>
      <x:c r="B140" s="66" t="str">
        <x:v>7º ano</x:v>
      </x:c>
      <x:c r="C140" s="66" t="str">
        <x:v>MODELO_7_ANO</x:v>
      </x:c>
      <x:c r="D140" s="66" t="str">
        <x:v>GERAL</x:v>
      </x:c>
      <x:c r="E140" s="66" t="str">
        <x:v>Geral (total bruto)</x:v>
      </x:c>
      <x:c r="F140" s="66" t="n">
        <x:v>50</x:v>
      </x:c>
      <x:c r="G140" s="66" t="n">
        <x:v>33</x:v>
      </x:c>
      <x:c r="H140" s="67" t="n">
        <x:f>G140/F140</x:f>
        <x:v>0.66</x:v>
      </x:c>
      <x:c r="I140" s="68" t="n">
        <x:f>'Premissas'!$B$13</x:f>
        <x:v>-50</x:v>
      </x:c>
      <x:c r="J140" s="68" t="n">
        <x:f>'Premissas'!$G$12</x:f>
        <x:v>1</x:v>
      </x:c>
      <x:c r="K140" s="69" t="n">
        <x:f>ROUND(MAX('Premissas'!$B$5,L140-N140),1)</x:f>
        <x:v>560.1</x:v>
      </x:c>
      <x:c r="L140" s="69" t="n">
        <x:f>ROUND(MAX('Premissas'!$B$5,MIN('Premissas'!$B$6,'Premissas'!$B$5+('Premissas'!$B$6-'Premissas'!$B$5)*(3*H140^2-2*H140^3)+I140*4*H140*(1-H140))),1)</x:f>
        <x:v>594.2</x:v>
      </x:c>
      <x:c r="M140" s="69" t="n">
        <x:f>ROUND(MIN('Premissas'!$B$6,L140+N140),1)</x:f>
        <x:v>628.3</x:v>
      </x:c>
      <x:c r="N140" s="69" t="n">
        <x:f>ROUND('Premissas'!$B$7*J140*SQRT(10/F140)*4*H140*(1-H140),1)</x:f>
        <x:v>34.1</x:v>
      </x:c>
      <x:c r="O140" s="66" t="str">
        <x:v>PROVISÓRIA</x:v>
      </x:c>
    </x:row>
    <x:row r="141">
      <x:c r="A141" s="56" t="str">
        <x:v>Escala comum 7º–9º</x:v>
      </x:c>
      <x:c r="B141" s="56" t="str">
        <x:v>7º ano</x:v>
      </x:c>
      <x:c r="C141" s="56" t="str">
        <x:v>MODELO_7_ANO</x:v>
      </x:c>
      <x:c r="D141" s="56" t="str">
        <x:v>GERAL</x:v>
      </x:c>
      <x:c r="E141" s="56" t="str">
        <x:v>Geral (total bruto)</x:v>
      </x:c>
      <x:c r="F141" s="56" t="n">
        <x:v>50</x:v>
      </x:c>
      <x:c r="G141" s="56" t="n">
        <x:v>34</x:v>
      </x:c>
      <x:c r="H141" s="70" t="n">
        <x:f>G141/F141</x:f>
        <x:v>0.68</x:v>
      </x:c>
      <x:c r="I141" s="59" t="n">
        <x:f>'Premissas'!$B$13</x:f>
        <x:v>-50</x:v>
      </x:c>
      <x:c r="J141" s="59" t="n">
        <x:f>'Premissas'!$G$12</x:f>
        <x:v>1</x:v>
      </x:c>
      <x:c r="K141" s="57" t="n">
        <x:f>ROUND(MAX('Premissas'!$B$5,L141-N141),1)</x:f>
        <x:v>578.4</x:v>
      </x:c>
      <x:c r="L141" s="57" t="n">
        <x:f>ROUND(MAX('Premissas'!$B$5,MIN('Premissas'!$B$6,'Premissas'!$B$5+('Premissas'!$B$6-'Premissas'!$B$5)*(3*H141^2-2*H141^3)+I141*4*H141*(1-H141))),1)</x:f>
        <x:v>611.5</x:v>
      </x:c>
      <x:c r="M141" s="57" t="n">
        <x:f>ROUND(MIN('Premissas'!$B$6,L141+N141),1)</x:f>
        <x:v>644.6</x:v>
      </x:c>
      <x:c r="N141" s="57" t="n">
        <x:f>ROUND('Premissas'!$B$7*J141*SQRT(10/F141)*4*H141*(1-H141),1)</x:f>
        <x:v>33.1</x:v>
      </x:c>
      <x:c r="O141" s="56" t="str">
        <x:v>PROVISÓRIA</x:v>
      </x:c>
    </x:row>
    <x:row r="142">
      <x:c r="A142" s="66" t="str">
        <x:v>Escala comum 7º–9º</x:v>
      </x:c>
      <x:c r="B142" s="66" t="str">
        <x:v>7º ano</x:v>
      </x:c>
      <x:c r="C142" s="66" t="str">
        <x:v>MODELO_7_ANO</x:v>
      </x:c>
      <x:c r="D142" s="66" t="str">
        <x:v>GERAL</x:v>
      </x:c>
      <x:c r="E142" s="66" t="str">
        <x:v>Geral (total bruto)</x:v>
      </x:c>
      <x:c r="F142" s="66" t="n">
        <x:v>50</x:v>
      </x:c>
      <x:c r="G142" s="66" t="n">
        <x:v>35</x:v>
      </x:c>
      <x:c r="H142" s="67" t="n">
        <x:f>G142/F142</x:f>
        <x:v>0.7</x:v>
      </x:c>
      <x:c r="I142" s="68" t="n">
        <x:f>'Premissas'!$B$13</x:f>
        <x:v>-50</x:v>
      </x:c>
      <x:c r="J142" s="68" t="n">
        <x:f>'Premissas'!$G$12</x:f>
        <x:v>1</x:v>
      </x:c>
      <x:c r="K142" s="69" t="n">
        <x:f>ROUND(MAX('Premissas'!$B$5,L142-N142),1)</x:f>
        <x:v>596.5</x:v>
      </x:c>
      <x:c r="L142" s="69" t="n">
        <x:f>ROUND(MAX('Premissas'!$B$5,MIN('Premissas'!$B$6,'Premissas'!$B$5+('Premissas'!$B$6-'Premissas'!$B$5)*(3*H142^2-2*H142^3)+I142*4*H142*(1-H142))),1)</x:f>
        <x:v>628.4</x:v>
      </x:c>
      <x:c r="M142" s="69" t="n">
        <x:f>ROUND(MIN('Premissas'!$B$6,L142+N142),1)</x:f>
        <x:v>660.3</x:v>
      </x:c>
      <x:c r="N142" s="69" t="n">
        <x:f>ROUND('Premissas'!$B$7*J142*SQRT(10/F142)*4*H142*(1-H142),1)</x:f>
        <x:v>31.9</x:v>
      </x:c>
      <x:c r="O142" s="66" t="str">
        <x:v>PROVISÓRIA</x:v>
      </x:c>
    </x:row>
    <x:row r="143">
      <x:c r="A143" s="56" t="str">
        <x:v>Escala comum 7º–9º</x:v>
      </x:c>
      <x:c r="B143" s="56" t="str">
        <x:v>7º ano</x:v>
      </x:c>
      <x:c r="C143" s="56" t="str">
        <x:v>MODELO_7_ANO</x:v>
      </x:c>
      <x:c r="D143" s="56" t="str">
        <x:v>GERAL</x:v>
      </x:c>
      <x:c r="E143" s="56" t="str">
        <x:v>Geral (total bruto)</x:v>
      </x:c>
      <x:c r="F143" s="56" t="n">
        <x:v>50</x:v>
      </x:c>
      <x:c r="G143" s="56" t="n">
        <x:v>36</x:v>
      </x:c>
      <x:c r="H143" s="70" t="n">
        <x:f>G143/F143</x:f>
        <x:v>0.72</x:v>
      </x:c>
      <x:c r="I143" s="59" t="n">
        <x:f>'Premissas'!$B$13</x:f>
        <x:v>-50</x:v>
      </x:c>
      <x:c r="J143" s="59" t="n">
        <x:f>'Premissas'!$G$12</x:f>
        <x:v>1</x:v>
      </x:c>
      <x:c r="K143" s="57" t="n">
        <x:f>ROUND(MAX('Premissas'!$B$5,L143-N143),1)</x:f>
        <x:v>614.2</x:v>
      </x:c>
      <x:c r="L143" s="57" t="n">
        <x:f>ROUND(MAX('Premissas'!$B$5,MIN('Premissas'!$B$6,'Premissas'!$B$5+('Premissas'!$B$6-'Premissas'!$B$5)*(3*H143^2-2*H143^3)+I143*4*H143*(1-H143))),1)</x:f>
        <x:v>644.9</x:v>
      </x:c>
      <x:c r="M143" s="57" t="n">
        <x:f>ROUND(MIN('Premissas'!$B$6,L143+N143),1)</x:f>
        <x:v>675.6</x:v>
      </x:c>
      <x:c r="N143" s="57" t="n">
        <x:f>ROUND('Premissas'!$B$7*J143*SQRT(10/F143)*4*H143*(1-H143),1)</x:f>
        <x:v>30.7</x:v>
      </x:c>
      <x:c r="O143" s="56" t="str">
        <x:v>PROVISÓRIA</x:v>
      </x:c>
    </x:row>
    <x:row r="144">
      <x:c r="A144" s="66" t="str">
        <x:v>Escala comum 7º–9º</x:v>
      </x:c>
      <x:c r="B144" s="66" t="str">
        <x:v>7º ano</x:v>
      </x:c>
      <x:c r="C144" s="66" t="str">
        <x:v>MODELO_7_ANO</x:v>
      </x:c>
      <x:c r="D144" s="66" t="str">
        <x:v>GERAL</x:v>
      </x:c>
      <x:c r="E144" s="66" t="str">
        <x:v>Geral (total bruto)</x:v>
      </x:c>
      <x:c r="F144" s="66" t="n">
        <x:v>50</x:v>
      </x:c>
      <x:c r="G144" s="66" t="n">
        <x:v>37</x:v>
      </x:c>
      <x:c r="H144" s="67" t="n">
        <x:f>G144/F144</x:f>
        <x:v>0.74</x:v>
      </x:c>
      <x:c r="I144" s="68" t="n">
        <x:f>'Premissas'!$B$13</x:f>
        <x:v>-50</x:v>
      </x:c>
      <x:c r="J144" s="68" t="n">
        <x:f>'Premissas'!$G$12</x:f>
        <x:v>1</x:v>
      </x:c>
      <x:c r="K144" s="69" t="n">
        <x:f>ROUND(MAX('Premissas'!$B$5,L144-N144),1)</x:f>
        <x:v>631.6</x:v>
      </x:c>
      <x:c r="L144" s="69" t="n">
        <x:f>ROUND(MAX('Premissas'!$B$5,MIN('Premissas'!$B$6,'Premissas'!$B$5+('Premissas'!$B$6-'Premissas'!$B$5)*(3*H144^2-2*H144^3)+I144*4*H144*(1-H144))),1)</x:f>
        <x:v>660.9</x:v>
      </x:c>
      <x:c r="M144" s="69" t="n">
        <x:f>ROUND(MIN('Premissas'!$B$6,L144+N144),1)</x:f>
        <x:v>690.2</x:v>
      </x:c>
      <x:c r="N144" s="69" t="n">
        <x:f>ROUND('Premissas'!$B$7*J144*SQRT(10/F144)*4*H144*(1-H144),1)</x:f>
        <x:v>29.3</x:v>
      </x:c>
      <x:c r="O144" s="66" t="str">
        <x:v>PROVISÓRIA</x:v>
      </x:c>
    </x:row>
    <x:row r="145">
      <x:c r="A145" s="56" t="str">
        <x:v>Escala comum 7º–9º</x:v>
      </x:c>
      <x:c r="B145" s="56" t="str">
        <x:v>7º ano</x:v>
      </x:c>
      <x:c r="C145" s="56" t="str">
        <x:v>MODELO_7_ANO</x:v>
      </x:c>
      <x:c r="D145" s="56" t="str">
        <x:v>GERAL</x:v>
      </x:c>
      <x:c r="E145" s="56" t="str">
        <x:v>Geral (total bruto)</x:v>
      </x:c>
      <x:c r="F145" s="56" t="n">
        <x:v>50</x:v>
      </x:c>
      <x:c r="G145" s="56" t="n">
        <x:v>38</x:v>
      </x:c>
      <x:c r="H145" s="70" t="n">
        <x:f>G145/F145</x:f>
        <x:v>0.76</x:v>
      </x:c>
      <x:c r="I145" s="59" t="n">
        <x:f>'Premissas'!$B$13</x:f>
        <x:v>-50</x:v>
      </x:c>
      <x:c r="J145" s="59" t="n">
        <x:f>'Premissas'!$G$12</x:f>
        <x:v>1</x:v>
      </x:c>
      <x:c r="K145" s="57" t="n">
        <x:f>ROUND(MAX('Premissas'!$B$5,L145-N145),1)</x:f>
        <x:v>648.7</x:v>
      </x:c>
      <x:c r="L145" s="57" t="n">
        <x:f>ROUND(MAX('Premissas'!$B$5,MIN('Premissas'!$B$6,'Premissas'!$B$5+('Premissas'!$B$6-'Premissas'!$B$5)*(3*H145^2-2*H145^3)+I145*4*H145*(1-H145))),1)</x:f>
        <x:v>676.4</x:v>
      </x:c>
      <x:c r="M145" s="57" t="n">
        <x:f>ROUND(MIN('Premissas'!$B$6,L145+N145),1)</x:f>
        <x:v>704.1</x:v>
      </x:c>
      <x:c r="N145" s="57" t="n">
        <x:f>ROUND('Premissas'!$B$7*J145*SQRT(10/F145)*4*H145*(1-H145),1)</x:f>
        <x:v>27.7</x:v>
      </x:c>
      <x:c r="O145" s="56" t="str">
        <x:v>PROVISÓRIA</x:v>
      </x:c>
    </x:row>
    <x:row r="146">
      <x:c r="A146" s="66" t="str">
        <x:v>Escala comum 7º–9º</x:v>
      </x:c>
      <x:c r="B146" s="66" t="str">
        <x:v>7º ano</x:v>
      </x:c>
      <x:c r="C146" s="66" t="str">
        <x:v>MODELO_7_ANO</x:v>
      </x:c>
      <x:c r="D146" s="66" t="str">
        <x:v>GERAL</x:v>
      </x:c>
      <x:c r="E146" s="66" t="str">
        <x:v>Geral (total bruto)</x:v>
      </x:c>
      <x:c r="F146" s="66" t="n">
        <x:v>50</x:v>
      </x:c>
      <x:c r="G146" s="66" t="n">
        <x:v>39</x:v>
      </x:c>
      <x:c r="H146" s="67" t="n">
        <x:f>G146/F146</x:f>
        <x:v>0.78</x:v>
      </x:c>
      <x:c r="I146" s="68" t="n">
        <x:f>'Premissas'!$B$13</x:f>
        <x:v>-50</x:v>
      </x:c>
      <x:c r="J146" s="68" t="n">
        <x:f>'Premissas'!$G$12</x:f>
        <x:v>1</x:v>
      </x:c>
      <x:c r="K146" s="69" t="n">
        <x:f>ROUND(MAX('Premissas'!$B$5,L146-N146),1)</x:f>
        <x:v>665.2</x:v>
      </x:c>
      <x:c r="L146" s="69" t="n">
        <x:f>ROUND(MAX('Premissas'!$B$5,MIN('Premissas'!$B$6,'Premissas'!$B$5+('Premissas'!$B$6-'Premissas'!$B$5)*(3*H146^2-2*H146^3)+I146*4*H146*(1-H146))),1)</x:f>
        <x:v>691.3</x:v>
      </x:c>
      <x:c r="M146" s="69" t="n">
        <x:f>ROUND(MIN('Premissas'!$B$6,L146+N146),1)</x:f>
        <x:v>717.4</x:v>
      </x:c>
      <x:c r="N146" s="69" t="n">
        <x:f>ROUND('Premissas'!$B$7*J146*SQRT(10/F146)*4*H146*(1-H146),1)</x:f>
        <x:v>26.1</x:v>
      </x:c>
      <x:c r="O146" s="66" t="str">
        <x:v>PROVISÓRIA</x:v>
      </x:c>
    </x:row>
    <x:row r="147">
      <x:c r="A147" s="56" t="str">
        <x:v>Escala comum 7º–9º</x:v>
      </x:c>
      <x:c r="B147" s="56" t="str">
        <x:v>7º ano</x:v>
      </x:c>
      <x:c r="C147" s="56" t="str">
        <x:v>MODELO_7_ANO</x:v>
      </x:c>
      <x:c r="D147" s="56" t="str">
        <x:v>GERAL</x:v>
      </x:c>
      <x:c r="E147" s="56" t="str">
        <x:v>Geral (total bruto)</x:v>
      </x:c>
      <x:c r="F147" s="56" t="n">
        <x:v>50</x:v>
      </x:c>
      <x:c r="G147" s="56" t="n">
        <x:v>40</x:v>
      </x:c>
      <x:c r="H147" s="70" t="n">
        <x:f>G147/F147</x:f>
        <x:v>0.8</x:v>
      </x:c>
      <x:c r="I147" s="59" t="n">
        <x:f>'Premissas'!$B$13</x:f>
        <x:v>-50</x:v>
      </x:c>
      <x:c r="J147" s="59" t="n">
        <x:f>'Premissas'!$G$12</x:f>
        <x:v>1</x:v>
      </x:c>
      <x:c r="K147" s="57" t="n">
        <x:f>ROUND(MAX('Premissas'!$B$5,L147-N147),1)</x:f>
        <x:v>681.3</x:v>
      </x:c>
      <x:c r="L147" s="57" t="n">
        <x:f>ROUND(MAX('Premissas'!$B$5,MIN('Premissas'!$B$6,'Premissas'!$B$5+('Premissas'!$B$6-'Premissas'!$B$5)*(3*H147^2-2*H147^3)+I147*4*H147*(1-H147))),1)</x:f>
        <x:v>705.6</x:v>
      </x:c>
      <x:c r="M147" s="57" t="n">
        <x:f>ROUND(MIN('Premissas'!$B$6,L147+N147),1)</x:f>
        <x:v>729.9</x:v>
      </x:c>
      <x:c r="N147" s="57" t="n">
        <x:f>ROUND('Premissas'!$B$7*J147*SQRT(10/F147)*4*H147*(1-H147),1)</x:f>
        <x:v>24.3</x:v>
      </x:c>
      <x:c r="O147" s="56" t="str">
        <x:v>PROVISÓRIA</x:v>
      </x:c>
    </x:row>
    <x:row r="148">
      <x:c r="A148" s="66" t="str">
        <x:v>Escala comum 7º–9º</x:v>
      </x:c>
      <x:c r="B148" s="66" t="str">
        <x:v>7º ano</x:v>
      </x:c>
      <x:c r="C148" s="66" t="str">
        <x:v>MODELO_7_ANO</x:v>
      </x:c>
      <x:c r="D148" s="66" t="str">
        <x:v>GERAL</x:v>
      </x:c>
      <x:c r="E148" s="66" t="str">
        <x:v>Geral (total bruto)</x:v>
      </x:c>
      <x:c r="F148" s="66" t="n">
        <x:v>50</x:v>
      </x:c>
      <x:c r="G148" s="66" t="n">
        <x:v>41</x:v>
      </x:c>
      <x:c r="H148" s="67" t="n">
        <x:f>G148/F148</x:f>
        <x:v>0.82</x:v>
      </x:c>
      <x:c r="I148" s="68" t="n">
        <x:f>'Premissas'!$B$13</x:f>
        <x:v>-50</x:v>
      </x:c>
      <x:c r="J148" s="68" t="n">
        <x:f>'Premissas'!$G$12</x:f>
        <x:v>1</x:v>
      </x:c>
      <x:c r="K148" s="69" t="n">
        <x:f>ROUND(MAX('Premissas'!$B$5,L148-N148),1)</x:f>
        <x:v>696.8</x:v>
      </x:c>
      <x:c r="L148" s="69" t="n">
        <x:f>ROUND(MAX('Premissas'!$B$5,MIN('Premissas'!$B$6,'Premissas'!$B$5+('Premissas'!$B$6-'Premissas'!$B$5)*(3*H148^2-2*H148^3)+I148*4*H148*(1-H148))),1)</x:f>
        <x:v>719.2</x:v>
      </x:c>
      <x:c r="M148" s="69" t="n">
        <x:f>ROUND(MIN('Premissas'!$B$6,L148+N148),1)</x:f>
        <x:v>741.6</x:v>
      </x:c>
      <x:c r="N148" s="69" t="n">
        <x:f>ROUND('Premissas'!$B$7*J148*SQRT(10/F148)*4*H148*(1-H148),1)</x:f>
        <x:v>22.4</x:v>
      </x:c>
      <x:c r="O148" s="66" t="str">
        <x:v>PROVISÓRIA</x:v>
      </x:c>
    </x:row>
    <x:row r="149">
      <x:c r="A149" s="56" t="str">
        <x:v>Escala comum 7º–9º</x:v>
      </x:c>
      <x:c r="B149" s="56" t="str">
        <x:v>7º ano</x:v>
      </x:c>
      <x:c r="C149" s="56" t="str">
        <x:v>MODELO_7_ANO</x:v>
      </x:c>
      <x:c r="D149" s="56" t="str">
        <x:v>GERAL</x:v>
      </x:c>
      <x:c r="E149" s="56" t="str">
        <x:v>Geral (total bruto)</x:v>
      </x:c>
      <x:c r="F149" s="56" t="n">
        <x:v>50</x:v>
      </x:c>
      <x:c r="G149" s="56" t="n">
        <x:v>42</x:v>
      </x:c>
      <x:c r="H149" s="70" t="n">
        <x:f>G149/F149</x:f>
        <x:v>0.84</x:v>
      </x:c>
      <x:c r="I149" s="59" t="n">
        <x:f>'Premissas'!$B$13</x:f>
        <x:v>-50</x:v>
      </x:c>
      <x:c r="J149" s="59" t="n">
        <x:f>'Premissas'!$G$12</x:f>
        <x:v>1</x:v>
      </x:c>
      <x:c r="K149" s="57" t="n">
        <x:f>ROUND(MAX('Premissas'!$B$5,L149-N149),1)</x:f>
        <x:v>711.6</x:v>
      </x:c>
      <x:c r="L149" s="57" t="n">
        <x:f>ROUND(MAX('Premissas'!$B$5,MIN('Premissas'!$B$6,'Premissas'!$B$5+('Premissas'!$B$6-'Premissas'!$B$5)*(3*H149^2-2*H149^3)+I149*4*H149*(1-H149))),1)</x:f>
        <x:v>732</x:v>
      </x:c>
      <x:c r="M149" s="57" t="n">
        <x:f>ROUND(MIN('Premissas'!$B$6,L149+N149),1)</x:f>
        <x:v>752.4</x:v>
      </x:c>
      <x:c r="N149" s="57" t="n">
        <x:f>ROUND('Premissas'!$B$7*J149*SQRT(10/F149)*4*H149*(1-H149),1)</x:f>
        <x:v>20.4</x:v>
      </x:c>
      <x:c r="O149" s="56" t="str">
        <x:v>PROVISÓRIA</x:v>
      </x:c>
    </x:row>
    <x:row r="150">
      <x:c r="A150" s="66" t="str">
        <x:v>Escala comum 7º–9º</x:v>
      </x:c>
      <x:c r="B150" s="66" t="str">
        <x:v>7º ano</x:v>
      </x:c>
      <x:c r="C150" s="66" t="str">
        <x:v>MODELO_7_ANO</x:v>
      </x:c>
      <x:c r="D150" s="66" t="str">
        <x:v>GERAL</x:v>
      </x:c>
      <x:c r="E150" s="66" t="str">
        <x:v>Geral (total bruto)</x:v>
      </x:c>
      <x:c r="F150" s="66" t="n">
        <x:v>50</x:v>
      </x:c>
      <x:c r="G150" s="66" t="n">
        <x:v>43</x:v>
      </x:c>
      <x:c r="H150" s="67" t="n">
        <x:f>G150/F150</x:f>
        <x:v>0.86</x:v>
      </x:c>
      <x:c r="I150" s="68" t="n">
        <x:f>'Premissas'!$B$13</x:f>
        <x:v>-50</x:v>
      </x:c>
      <x:c r="J150" s="68" t="n">
        <x:f>'Premissas'!$G$12</x:f>
        <x:v>1</x:v>
      </x:c>
      <x:c r="K150" s="69" t="n">
        <x:f>ROUND(MAX('Premissas'!$B$5,L150-N150),1)</x:f>
        <x:v>725.6</x:v>
      </x:c>
      <x:c r="L150" s="69" t="n">
        <x:f>ROUND(MAX('Premissas'!$B$5,MIN('Premissas'!$B$6,'Premissas'!$B$5+('Premissas'!$B$6-'Premissas'!$B$5)*(3*H150^2-2*H150^3)+I150*4*H150*(1-H150))),1)</x:f>
        <x:v>743.9</x:v>
      </x:c>
      <x:c r="M150" s="69" t="n">
        <x:f>ROUND(MIN('Premissas'!$B$6,L150+N150),1)</x:f>
        <x:v>762.2</x:v>
      </x:c>
      <x:c r="N150" s="69" t="n">
        <x:f>ROUND('Premissas'!$B$7*J150*SQRT(10/F150)*4*H150*(1-H150),1)</x:f>
        <x:v>18.3</x:v>
      </x:c>
      <x:c r="O150" s="66" t="str">
        <x:v>PROVISÓRIA</x:v>
      </x:c>
    </x:row>
    <x:row r="151">
      <x:c r="A151" s="56" t="str">
        <x:v>Escala comum 7º–9º</x:v>
      </x:c>
      <x:c r="B151" s="56" t="str">
        <x:v>7º ano</x:v>
      </x:c>
      <x:c r="C151" s="56" t="str">
        <x:v>MODELO_7_ANO</x:v>
      </x:c>
      <x:c r="D151" s="56" t="str">
        <x:v>GERAL</x:v>
      </x:c>
      <x:c r="E151" s="56" t="str">
        <x:v>Geral (total bruto)</x:v>
      </x:c>
      <x:c r="F151" s="56" t="n">
        <x:v>50</x:v>
      </x:c>
      <x:c r="G151" s="56" t="n">
        <x:v>44</x:v>
      </x:c>
      <x:c r="H151" s="70" t="n">
        <x:f>G151/F151</x:f>
        <x:v>0.88</x:v>
      </x:c>
      <x:c r="I151" s="59" t="n">
        <x:f>'Premissas'!$B$13</x:f>
        <x:v>-50</x:v>
      </x:c>
      <x:c r="J151" s="59" t="n">
        <x:f>'Premissas'!$G$12</x:f>
        <x:v>1</x:v>
      </x:c>
      <x:c r="K151" s="57" t="n">
        <x:f>ROUND(MAX('Premissas'!$B$5,L151-N151),1)</x:f>
        <x:v>738.9</x:v>
      </x:c>
      <x:c r="L151" s="57" t="n">
        <x:f>ROUND(MAX('Premissas'!$B$5,MIN('Premissas'!$B$6,'Premissas'!$B$5+('Premissas'!$B$6-'Premissas'!$B$5)*(3*H151^2-2*H151^3)+I151*4*H151*(1-H151))),1)</x:f>
        <x:v>755</x:v>
      </x:c>
      <x:c r="M151" s="57" t="n">
        <x:f>ROUND(MIN('Premissas'!$B$6,L151+N151),1)</x:f>
        <x:v>771.1</x:v>
      </x:c>
      <x:c r="N151" s="57" t="n">
        <x:f>ROUND('Premissas'!$B$7*J151*SQRT(10/F151)*4*H151*(1-H151),1)</x:f>
        <x:v>16.1</x:v>
      </x:c>
      <x:c r="O151" s="56" t="str">
        <x:v>PROVISÓRIA</x:v>
      </x:c>
    </x:row>
    <x:row r="152">
      <x:c r="A152" s="66" t="str">
        <x:v>Escala comum 7º–9º</x:v>
      </x:c>
      <x:c r="B152" s="66" t="str">
        <x:v>7º ano</x:v>
      </x:c>
      <x:c r="C152" s="66" t="str">
        <x:v>MODELO_7_ANO</x:v>
      </x:c>
      <x:c r="D152" s="66" t="str">
        <x:v>GERAL</x:v>
      </x:c>
      <x:c r="E152" s="66" t="str">
        <x:v>Geral (total bruto)</x:v>
      </x:c>
      <x:c r="F152" s="66" t="n">
        <x:v>50</x:v>
      </x:c>
      <x:c r="G152" s="66" t="n">
        <x:v>45</x:v>
      </x:c>
      <x:c r="H152" s="67" t="n">
        <x:f>G152/F152</x:f>
        <x:v>0.9</x:v>
      </x:c>
      <x:c r="I152" s="68" t="n">
        <x:f>'Premissas'!$B$13</x:f>
        <x:v>-50</x:v>
      </x:c>
      <x:c r="J152" s="68" t="n">
        <x:f>'Premissas'!$G$12</x:f>
        <x:v>1</x:v>
      </x:c>
      <x:c r="K152" s="69" t="n">
        <x:f>ROUND(MAX('Premissas'!$B$5,L152-N152),1)</x:f>
        <x:v>751.5</x:v>
      </x:c>
      <x:c r="L152" s="69" t="n">
        <x:f>ROUND(MAX('Premissas'!$B$5,MIN('Premissas'!$B$6,'Premissas'!$B$5+('Premissas'!$B$6-'Premissas'!$B$5)*(3*H152^2-2*H152^3)+I152*4*H152*(1-H152))),1)</x:f>
        <x:v>765.2</x:v>
      </x:c>
      <x:c r="M152" s="69" t="n">
        <x:f>ROUND(MIN('Premissas'!$B$6,L152+N152),1)</x:f>
        <x:v>778.9</x:v>
      </x:c>
      <x:c r="N152" s="69" t="n">
        <x:f>ROUND('Premissas'!$B$7*J152*SQRT(10/F152)*4*H152*(1-H152),1)</x:f>
        <x:v>13.7</x:v>
      </x:c>
      <x:c r="O152" s="66" t="str">
        <x:v>PROVISÓRIA</x:v>
      </x:c>
    </x:row>
    <x:row r="153">
      <x:c r="A153" s="56" t="str">
        <x:v>Escala comum 7º–9º</x:v>
      </x:c>
      <x:c r="B153" s="56" t="str">
        <x:v>7º ano</x:v>
      </x:c>
      <x:c r="C153" s="56" t="str">
        <x:v>MODELO_7_ANO</x:v>
      </x:c>
      <x:c r="D153" s="56" t="str">
        <x:v>GERAL</x:v>
      </x:c>
      <x:c r="E153" s="56" t="str">
        <x:v>Geral (total bruto)</x:v>
      </x:c>
      <x:c r="F153" s="56" t="n">
        <x:v>50</x:v>
      </x:c>
      <x:c r="G153" s="56" t="n">
        <x:v>46</x:v>
      </x:c>
      <x:c r="H153" s="70" t="n">
        <x:f>G153/F153</x:f>
        <x:v>0.92</x:v>
      </x:c>
      <x:c r="I153" s="59" t="n">
        <x:f>'Premissas'!$B$13</x:f>
        <x:v>-50</x:v>
      </x:c>
      <x:c r="J153" s="59" t="n">
        <x:f>'Premissas'!$G$12</x:f>
        <x:v>1</x:v>
      </x:c>
      <x:c r="K153" s="57" t="n">
        <x:f>ROUND(MAX('Premissas'!$B$5,L153-N153),1)</x:f>
        <x:v>763.2</x:v>
      </x:c>
      <x:c r="L153" s="57" t="n">
        <x:f>ROUND(MAX('Premissas'!$B$5,MIN('Premissas'!$B$6,'Premissas'!$B$5+('Premissas'!$B$6-'Premissas'!$B$5)*(3*H153^2-2*H153^3)+I153*4*H153*(1-H153))),1)</x:f>
        <x:v>774.4</x:v>
      </x:c>
      <x:c r="M153" s="57" t="n">
        <x:f>ROUND(MIN('Premissas'!$B$6,L153+N153),1)</x:f>
        <x:v>785.6</x:v>
      </x:c>
      <x:c r="N153" s="57" t="n">
        <x:f>ROUND('Premissas'!$B$7*J153*SQRT(10/F153)*4*H153*(1-H153),1)</x:f>
        <x:v>11.2</x:v>
      </x:c>
      <x:c r="O153" s="56" t="str">
        <x:v>PROVISÓRIA</x:v>
      </x:c>
    </x:row>
    <x:row r="154">
      <x:c r="A154" s="66" t="str">
        <x:v>Escala comum 7º–9º</x:v>
      </x:c>
      <x:c r="B154" s="66" t="str">
        <x:v>7º ano</x:v>
      </x:c>
      <x:c r="C154" s="66" t="str">
        <x:v>MODELO_7_ANO</x:v>
      </x:c>
      <x:c r="D154" s="66" t="str">
        <x:v>GERAL</x:v>
      </x:c>
      <x:c r="E154" s="66" t="str">
        <x:v>Geral (total bruto)</x:v>
      </x:c>
      <x:c r="F154" s="66" t="n">
        <x:v>50</x:v>
      </x:c>
      <x:c r="G154" s="66" t="n">
        <x:v>47</x:v>
      </x:c>
      <x:c r="H154" s="67" t="n">
        <x:f>G154/F154</x:f>
        <x:v>0.94</x:v>
      </x:c>
      <x:c r="I154" s="68" t="n">
        <x:f>'Premissas'!$B$13</x:f>
        <x:v>-50</x:v>
      </x:c>
      <x:c r="J154" s="68" t="n">
        <x:f>'Premissas'!$G$12</x:f>
        <x:v>1</x:v>
      </x:c>
      <x:c r="K154" s="69" t="n">
        <x:f>ROUND(MAX('Premissas'!$B$5,L154-N154),1)</x:f>
        <x:v>773.9</x:v>
      </x:c>
      <x:c r="L154" s="69" t="n">
        <x:f>ROUND(MAX('Premissas'!$B$5,MIN('Premissas'!$B$6,'Premissas'!$B$5+('Premissas'!$B$6-'Premissas'!$B$5)*(3*H154^2-2*H154^3)+I154*4*H154*(1-H154))),1)</x:f>
        <x:v>782.5</x:v>
      </x:c>
      <x:c r="M154" s="69" t="n">
        <x:f>ROUND(MIN('Premissas'!$B$6,L154+N154),1)</x:f>
        <x:v>791.1</x:v>
      </x:c>
      <x:c r="N154" s="69" t="n">
        <x:f>ROUND('Premissas'!$B$7*J154*SQRT(10/F154)*4*H154*(1-H154),1)</x:f>
        <x:v>8.6</x:v>
      </x:c>
      <x:c r="O154" s="66" t="str">
        <x:v>PROVISÓRIA</x:v>
      </x:c>
    </x:row>
    <x:row r="155">
      <x:c r="A155" s="56" t="str">
        <x:v>Escala comum 7º–9º</x:v>
      </x:c>
      <x:c r="B155" s="56" t="str">
        <x:v>7º ano</x:v>
      </x:c>
      <x:c r="C155" s="56" t="str">
        <x:v>MODELO_7_ANO</x:v>
      </x:c>
      <x:c r="D155" s="56" t="str">
        <x:v>GERAL</x:v>
      </x:c>
      <x:c r="E155" s="56" t="str">
        <x:v>Geral (total bruto)</x:v>
      </x:c>
      <x:c r="F155" s="56" t="n">
        <x:v>50</x:v>
      </x:c>
      <x:c r="G155" s="56" t="n">
        <x:v>48</x:v>
      </x:c>
      <x:c r="H155" s="70" t="n">
        <x:f>G155/F155</x:f>
        <x:v>0.96</x:v>
      </x:c>
      <x:c r="I155" s="59" t="n">
        <x:f>'Premissas'!$B$13</x:f>
        <x:v>-50</x:v>
      </x:c>
      <x:c r="J155" s="59" t="n">
        <x:f>'Premissas'!$G$12</x:f>
        <x:v>1</x:v>
      </x:c>
      <x:c r="K155" s="57" t="n">
        <x:f>ROUND(MAX('Premissas'!$B$5,L155-N155),1)</x:f>
        <x:v>783.7</x:v>
      </x:c>
      <x:c r="L155" s="57" t="n">
        <x:f>ROUND(MAX('Premissas'!$B$5,MIN('Premissas'!$B$6,'Premissas'!$B$5+('Premissas'!$B$6-'Premissas'!$B$5)*(3*H155^2-2*H155^3)+I155*4*H155*(1-H155))),1)</x:f>
        <x:v>789.5</x:v>
      </x:c>
      <x:c r="M155" s="57" t="n">
        <x:f>ROUND(MIN('Premissas'!$B$6,L155+N155),1)</x:f>
        <x:v>795.3</x:v>
      </x:c>
      <x:c r="N155" s="57" t="n">
        <x:f>ROUND('Premissas'!$B$7*J155*SQRT(10/F155)*4*H155*(1-H155),1)</x:f>
        <x:v>5.8</x:v>
      </x:c>
      <x:c r="O155" s="56" t="str">
        <x:v>PROVISÓRIA</x:v>
      </x:c>
    </x:row>
    <x:row r="156">
      <x:c r="A156" s="66" t="str">
        <x:v>Escala comum 7º–9º</x:v>
      </x:c>
      <x:c r="B156" s="66" t="str">
        <x:v>7º ano</x:v>
      </x:c>
      <x:c r="C156" s="66" t="str">
        <x:v>MODELO_7_ANO</x:v>
      </x:c>
      <x:c r="D156" s="66" t="str">
        <x:v>GERAL</x:v>
      </x:c>
      <x:c r="E156" s="66" t="str">
        <x:v>Geral (total bruto)</x:v>
      </x:c>
      <x:c r="F156" s="66" t="n">
        <x:v>50</x:v>
      </x:c>
      <x:c r="G156" s="66" t="n">
        <x:v>49</x:v>
      </x:c>
      <x:c r="H156" s="67" t="n">
        <x:f>G156/F156</x:f>
        <x:v>0.98</x:v>
      </x:c>
      <x:c r="I156" s="68" t="n">
        <x:f>'Premissas'!$B$13</x:f>
        <x:v>-50</x:v>
      </x:c>
      <x:c r="J156" s="68" t="n">
        <x:f>'Premissas'!$G$12</x:f>
        <x:v>1</x:v>
      </x:c>
      <x:c r="K156" s="69" t="n">
        <x:f>ROUND(MAX('Premissas'!$B$5,L156-N156),1)</x:f>
        <x:v>792.4</x:v>
      </x:c>
      <x:c r="L156" s="69" t="n">
        <x:f>ROUND(MAX('Premissas'!$B$5,MIN('Premissas'!$B$6,'Premissas'!$B$5+('Premissas'!$B$6-'Premissas'!$B$5)*(3*H156^2-2*H156^3)+I156*4*H156*(1-H156))),1)</x:f>
        <x:v>795.4</x:v>
      </x:c>
      <x:c r="M156" s="69" t="n">
        <x:f>ROUND(MIN('Premissas'!$B$6,L156+N156),1)</x:f>
        <x:v>798.4</x:v>
      </x:c>
      <x:c r="N156" s="69" t="n">
        <x:f>ROUND('Premissas'!$B$7*J156*SQRT(10/F156)*4*H156*(1-H156),1)</x:f>
        <x:v>3</x:v>
      </x:c>
      <x:c r="O156" s="66" t="str">
        <x:v>PROVISÓRIA</x:v>
      </x:c>
    </x:row>
    <x:row r="157">
      <x:c r="A157" s="56" t="str">
        <x:v>Escala comum 7º–9º</x:v>
      </x:c>
      <x:c r="B157" s="56" t="str">
        <x:v>7º ano</x:v>
      </x:c>
      <x:c r="C157" s="56" t="str">
        <x:v>MODELO_7_ANO</x:v>
      </x:c>
      <x:c r="D157" s="56" t="str">
        <x:v>GERAL</x:v>
      </x:c>
      <x:c r="E157" s="56" t="str">
        <x:v>Geral (total bruto)</x:v>
      </x:c>
      <x:c r="F157" s="56" t="n">
        <x:v>50</x:v>
      </x:c>
      <x:c r="G157" s="56" t="n">
        <x:v>50</x:v>
      </x:c>
      <x:c r="H157" s="70" t="n">
        <x:f>G157/F157</x:f>
        <x:v>1</x:v>
      </x:c>
      <x:c r="I157" s="59" t="n">
        <x:f>'Premissas'!$B$13</x:f>
        <x:v>-50</x:v>
      </x:c>
      <x:c r="J157" s="59" t="n">
        <x:f>'Premissas'!$G$12</x:f>
        <x:v>1</x:v>
      </x:c>
      <x:c r="K157" s="57" t="n">
        <x:f>ROUND(MAX('Premissas'!$B$5,L157-N157),1)</x:f>
        <x:v>800</x:v>
      </x:c>
      <x:c r="L157" s="57" t="n">
        <x:f>ROUND(MAX('Premissas'!$B$5,MIN('Premissas'!$B$6,'Premissas'!$B$5+('Premissas'!$B$6-'Premissas'!$B$5)*(3*H157^2-2*H157^3)+I157*4*H157*(1-H157))),1)</x:f>
        <x:v>800</x:v>
      </x:c>
      <x:c r="M157" s="57" t="n">
        <x:f>ROUND(MIN('Premissas'!$B$6,L157+N157),1)</x:f>
        <x:v>800</x:v>
      </x:c>
      <x:c r="N157" s="57" t="n">
        <x:f>ROUND('Premissas'!$B$7*J157*SQRT(10/F157)*4*H157*(1-H157),1)</x:f>
        <x:v>0</x:v>
      </x:c>
      <x:c r="O157" s="56" t="str">
        <x:v>PROVISÓRIA</x:v>
      </x:c>
    </x:row>
    <x:row r="158">
      <x:c r="A158" s="66" t="str">
        <x:v>Escala comum 7º–9º</x:v>
      </x:c>
      <x:c r="B158" s="66" t="str">
        <x:v>7º ano</x:v>
      </x:c>
      <x:c r="C158" s="66" t="str">
        <x:v>MODELO_7_ANO</x:v>
      </x:c>
      <x:c r="D158" s="66" t="str">
        <x:v>LC</x:v>
      </x:c>
      <x:c r="E158" s="66" t="str">
        <x:v>Linguagens</x:v>
      </x:c>
      <x:c r="F158" s="66" t="n">
        <x:v>20</x:v>
      </x:c>
      <x:c r="G158" s="66" t="n">
        <x:v>0</x:v>
      </x:c>
      <x:c r="H158" s="67" t="n">
        <x:f>G158/F158</x:f>
        <x:v>0</x:v>
      </x:c>
      <x:c r="I158" s="68" t="n">
        <x:f>'Premissas'!$B$13</x:f>
        <x:v>-50</x:v>
      </x:c>
      <x:c r="J158" s="68" t="n">
        <x:f>'Premissas'!$G$13</x:f>
        <x:v>1</x:v>
      </x:c>
      <x:c r="K158" s="69" t="n">
        <x:f>ROUND(MAX('Premissas'!$B$5,L158-N158),1)</x:f>
        <x:v>200</x:v>
      </x:c>
      <x:c r="L158" s="69" t="n">
        <x:f>ROUND(MAX('Premissas'!$B$5,MIN('Premissas'!$B$6,'Premissas'!$B$5+('Premissas'!$B$6-'Premissas'!$B$5)*(3*H158^2-2*H158^3)+I158*4*H158*(1-H158))),1)</x:f>
        <x:v>200</x:v>
      </x:c>
      <x:c r="M158" s="69" t="n">
        <x:f>ROUND(MIN('Premissas'!$B$6,L158+N158),1)</x:f>
        <x:v>200</x:v>
      </x:c>
      <x:c r="N158" s="69" t="n">
        <x:f>ROUND('Premissas'!$B$7*J158*SQRT(10/F158)*4*H158*(1-H158),1)</x:f>
        <x:v>0</x:v>
      </x:c>
      <x:c r="O158" s="66" t="str">
        <x:v>PROVISÓRIA</x:v>
      </x:c>
    </x:row>
    <x:row r="159">
      <x:c r="A159" s="56" t="str">
        <x:v>Escala comum 7º–9º</x:v>
      </x:c>
      <x:c r="B159" s="56" t="str">
        <x:v>7º ano</x:v>
      </x:c>
      <x:c r="C159" s="56" t="str">
        <x:v>MODELO_7_ANO</x:v>
      </x:c>
      <x:c r="D159" s="56" t="str">
        <x:v>LC</x:v>
      </x:c>
      <x:c r="E159" s="56" t="str">
        <x:v>Linguagens</x:v>
      </x:c>
      <x:c r="F159" s="56" t="n">
        <x:v>20</x:v>
      </x:c>
      <x:c r="G159" s="56" t="n">
        <x:v>1</x:v>
      </x:c>
      <x:c r="H159" s="70" t="n">
        <x:f>G159/F159</x:f>
        <x:v>0.05</x:v>
      </x:c>
      <x:c r="I159" s="59" t="n">
        <x:f>'Premissas'!$B$13</x:f>
        <x:v>-50</x:v>
      </x:c>
      <x:c r="J159" s="59" t="n">
        <x:f>'Premissas'!$G$13</x:f>
        <x:v>1</x:v>
      </x:c>
      <x:c r="K159" s="57" t="n">
        <x:f>ROUND(MAX('Premissas'!$B$5,L159-N159),1)</x:f>
        <x:v>200</x:v>
      </x:c>
      <x:c r="L159" s="57" t="n">
        <x:f>ROUND(MAX('Premissas'!$B$5,MIN('Premissas'!$B$6,'Premissas'!$B$5+('Premissas'!$B$6-'Premissas'!$B$5)*(3*H159^2-2*H159^3)+I159*4*H159*(1-H159))),1)</x:f>
        <x:v>200</x:v>
      </x:c>
      <x:c r="M159" s="57" t="n">
        <x:f>ROUND(MIN('Premissas'!$B$6,L159+N159),1)</x:f>
        <x:v>211.4</x:v>
      </x:c>
      <x:c r="N159" s="57" t="n">
        <x:f>ROUND('Premissas'!$B$7*J159*SQRT(10/F159)*4*H159*(1-H159),1)</x:f>
        <x:v>11.4</x:v>
      </x:c>
      <x:c r="O159" s="56" t="str">
        <x:v>PROVISÓRIA</x:v>
      </x:c>
    </x:row>
    <x:row r="160">
      <x:c r="A160" s="66" t="str">
        <x:v>Escala comum 7º–9º</x:v>
      </x:c>
      <x:c r="B160" s="66" t="str">
        <x:v>7º ano</x:v>
      </x:c>
      <x:c r="C160" s="66" t="str">
        <x:v>MODELO_7_ANO</x:v>
      </x:c>
      <x:c r="D160" s="66" t="str">
        <x:v>LC</x:v>
      </x:c>
      <x:c r="E160" s="66" t="str">
        <x:v>Linguagens</x:v>
      </x:c>
      <x:c r="F160" s="66" t="n">
        <x:v>20</x:v>
      </x:c>
      <x:c r="G160" s="66" t="n">
        <x:v>2</x:v>
      </x:c>
      <x:c r="H160" s="67" t="n">
        <x:f>G160/F160</x:f>
        <x:v>0.1</x:v>
      </x:c>
      <x:c r="I160" s="68" t="n">
        <x:f>'Premissas'!$B$13</x:f>
        <x:v>-50</x:v>
      </x:c>
      <x:c r="J160" s="68" t="n">
        <x:f>'Premissas'!$G$13</x:f>
        <x:v>1</x:v>
      </x:c>
      <x:c r="K160" s="69" t="n">
        <x:f>ROUND(MAX('Premissas'!$B$5,L160-N160),1)</x:f>
        <x:v>200</x:v>
      </x:c>
      <x:c r="L160" s="69" t="n">
        <x:f>ROUND(MAX('Premissas'!$B$5,MIN('Premissas'!$B$6,'Premissas'!$B$5+('Premissas'!$B$6-'Premissas'!$B$5)*(3*H160^2-2*H160^3)+I160*4*H160*(1-H160))),1)</x:f>
        <x:v>200</x:v>
      </x:c>
      <x:c r="M160" s="69" t="n">
        <x:f>ROUND(MIN('Premissas'!$B$6,L160+N160),1)</x:f>
        <x:v>221.6</x:v>
      </x:c>
      <x:c r="N160" s="69" t="n">
        <x:f>ROUND('Premissas'!$B$7*J160*SQRT(10/F160)*4*H160*(1-H160),1)</x:f>
        <x:v>21.6</x:v>
      </x:c>
      <x:c r="O160" s="66" t="str">
        <x:v>PROVISÓRIA</x:v>
      </x:c>
    </x:row>
    <x:row r="161">
      <x:c r="A161" s="56" t="str">
        <x:v>Escala comum 7º–9º</x:v>
      </x:c>
      <x:c r="B161" s="56" t="str">
        <x:v>7º ano</x:v>
      </x:c>
      <x:c r="C161" s="56" t="str">
        <x:v>MODELO_7_ANO</x:v>
      </x:c>
      <x:c r="D161" s="56" t="str">
        <x:v>LC</x:v>
      </x:c>
      <x:c r="E161" s="56" t="str">
        <x:v>Linguagens</x:v>
      </x:c>
      <x:c r="F161" s="56" t="n">
        <x:v>20</x:v>
      </x:c>
      <x:c r="G161" s="56" t="n">
        <x:v>3</x:v>
      </x:c>
      <x:c r="H161" s="70" t="n">
        <x:f>G161/F161</x:f>
        <x:v>0.15</x:v>
      </x:c>
      <x:c r="I161" s="59" t="n">
        <x:f>'Premissas'!$B$13</x:f>
        <x:v>-50</x:v>
      </x:c>
      <x:c r="J161" s="59" t="n">
        <x:f>'Premissas'!$G$13</x:f>
        <x:v>1</x:v>
      </x:c>
      <x:c r="K161" s="57" t="n">
        <x:f>ROUND(MAX('Premissas'!$B$5,L161-N161),1)</x:f>
        <x:v>200</x:v>
      </x:c>
      <x:c r="L161" s="57" t="n">
        <x:f>ROUND(MAX('Premissas'!$B$5,MIN('Premissas'!$B$6,'Premissas'!$B$5+('Premissas'!$B$6-'Premissas'!$B$5)*(3*H161^2-2*H161^3)+I161*4*H161*(1-H161))),1)</x:f>
        <x:v>211</x:v>
      </x:c>
      <x:c r="M161" s="57" t="n">
        <x:f>ROUND(MIN('Premissas'!$B$6,L161+N161),1)</x:f>
        <x:v>241.7</x:v>
      </x:c>
      <x:c r="N161" s="57" t="n">
        <x:f>ROUND('Premissas'!$B$7*J161*SQRT(10/F161)*4*H161*(1-H161),1)</x:f>
        <x:v>30.7</x:v>
      </x:c>
      <x:c r="O161" s="56" t="str">
        <x:v>PROVISÓRIA</x:v>
      </x:c>
    </x:row>
    <x:row r="162">
      <x:c r="A162" s="66" t="str">
        <x:v>Escala comum 7º–9º</x:v>
      </x:c>
      <x:c r="B162" s="66" t="str">
        <x:v>7º ano</x:v>
      </x:c>
      <x:c r="C162" s="66" t="str">
        <x:v>MODELO_7_ANO</x:v>
      </x:c>
      <x:c r="D162" s="66" t="str">
        <x:v>LC</x:v>
      </x:c>
      <x:c r="E162" s="66" t="str">
        <x:v>Linguagens</x:v>
      </x:c>
      <x:c r="F162" s="66" t="n">
        <x:v>20</x:v>
      </x:c>
      <x:c r="G162" s="66" t="n">
        <x:v>4</x:v>
      </x:c>
      <x:c r="H162" s="67" t="n">
        <x:f>G162/F162</x:f>
        <x:v>0.2</x:v>
      </x:c>
      <x:c r="I162" s="68" t="n">
        <x:f>'Premissas'!$B$13</x:f>
        <x:v>-50</x:v>
      </x:c>
      <x:c r="J162" s="68" t="n">
        <x:f>'Premissas'!$G$13</x:f>
        <x:v>1</x:v>
      </x:c>
      <x:c r="K162" s="69" t="n">
        <x:f>ROUND(MAX('Premissas'!$B$5,L162-N162),1)</x:f>
        <x:v>200</x:v>
      </x:c>
      <x:c r="L162" s="69" t="n">
        <x:f>ROUND(MAX('Premissas'!$B$5,MIN('Premissas'!$B$6,'Premissas'!$B$5+('Premissas'!$B$6-'Premissas'!$B$5)*(3*H162^2-2*H162^3)+I162*4*H162*(1-H162))),1)</x:f>
        <x:v>230.4</x:v>
      </x:c>
      <x:c r="M162" s="69" t="n">
        <x:f>ROUND(MIN('Premissas'!$B$6,L162+N162),1)</x:f>
        <x:v>268.9</x:v>
      </x:c>
      <x:c r="N162" s="69" t="n">
        <x:f>ROUND('Premissas'!$B$7*J162*SQRT(10/F162)*4*H162*(1-H162),1)</x:f>
        <x:v>38.5</x:v>
      </x:c>
      <x:c r="O162" s="66" t="str">
        <x:v>PROVISÓRIA</x:v>
      </x:c>
    </x:row>
    <x:row r="163">
      <x:c r="A163" s="56" t="str">
        <x:v>Escala comum 7º–9º</x:v>
      </x:c>
      <x:c r="B163" s="56" t="str">
        <x:v>7º ano</x:v>
      </x:c>
      <x:c r="C163" s="56" t="str">
        <x:v>MODELO_7_ANO</x:v>
      </x:c>
      <x:c r="D163" s="56" t="str">
        <x:v>LC</x:v>
      </x:c>
      <x:c r="E163" s="56" t="str">
        <x:v>Linguagens</x:v>
      </x:c>
      <x:c r="F163" s="56" t="n">
        <x:v>20</x:v>
      </x:c>
      <x:c r="G163" s="56" t="n">
        <x:v>5</x:v>
      </x:c>
      <x:c r="H163" s="70" t="n">
        <x:f>G163/F163</x:f>
        <x:v>0.25</x:v>
      </x:c>
      <x:c r="I163" s="59" t="n">
        <x:f>'Premissas'!$B$13</x:f>
        <x:v>-50</x:v>
      </x:c>
      <x:c r="J163" s="59" t="n">
        <x:f>'Premissas'!$G$13</x:f>
        <x:v>1</x:v>
      </x:c>
      <x:c r="K163" s="57" t="n">
        <x:f>ROUND(MAX('Premissas'!$B$5,L163-N163),1)</x:f>
        <x:v>211.2</x:v>
      </x:c>
      <x:c r="L163" s="57" t="n">
        <x:f>ROUND(MAX('Premissas'!$B$5,MIN('Premissas'!$B$6,'Premissas'!$B$5+('Premissas'!$B$6-'Premissas'!$B$5)*(3*H163^2-2*H163^3)+I163*4*H163*(1-H163))),1)</x:f>
        <x:v>256.3</x:v>
      </x:c>
      <x:c r="M163" s="57" t="n">
        <x:f>ROUND(MIN('Premissas'!$B$6,L163+N163),1)</x:f>
        <x:v>301.4</x:v>
      </x:c>
      <x:c r="N163" s="57" t="n">
        <x:f>ROUND('Premissas'!$B$7*J163*SQRT(10/F163)*4*H163*(1-H163),1)</x:f>
        <x:v>45.1</x:v>
      </x:c>
      <x:c r="O163" s="56" t="str">
        <x:v>PROVISÓRIA</x:v>
      </x:c>
    </x:row>
    <x:row r="164">
      <x:c r="A164" s="66" t="str">
        <x:v>Escala comum 7º–9º</x:v>
      </x:c>
      <x:c r="B164" s="66" t="str">
        <x:v>7º ano</x:v>
      </x:c>
      <x:c r="C164" s="66" t="str">
        <x:v>MODELO_7_ANO</x:v>
      </x:c>
      <x:c r="D164" s="66" t="str">
        <x:v>LC</x:v>
      </x:c>
      <x:c r="E164" s="66" t="str">
        <x:v>Linguagens</x:v>
      </x:c>
      <x:c r="F164" s="66" t="n">
        <x:v>20</x:v>
      </x:c>
      <x:c r="G164" s="66" t="n">
        <x:v>6</x:v>
      </x:c>
      <x:c r="H164" s="67" t="n">
        <x:f>G164/F164</x:f>
        <x:v>0.3</x:v>
      </x:c>
      <x:c r="I164" s="68" t="n">
        <x:f>'Premissas'!$B$13</x:f>
        <x:v>-50</x:v>
      </x:c>
      <x:c r="J164" s="68" t="n">
        <x:f>'Premissas'!$G$13</x:f>
        <x:v>1</x:v>
      </x:c>
      <x:c r="K164" s="69" t="n">
        <x:f>ROUND(MAX('Premissas'!$B$5,L164-N164),1)</x:f>
        <x:v>237.1</x:v>
      </x:c>
      <x:c r="L164" s="69" t="n">
        <x:f>ROUND(MAX('Premissas'!$B$5,MIN('Premissas'!$B$6,'Premissas'!$B$5+('Premissas'!$B$6-'Premissas'!$B$5)*(3*H164^2-2*H164^3)+I164*4*H164*(1-H164))),1)</x:f>
        <x:v>287.6</x:v>
      </x:c>
      <x:c r="M164" s="69" t="n">
        <x:f>ROUND(MIN('Premissas'!$B$6,L164+N164),1)</x:f>
        <x:v>338.1</x:v>
      </x:c>
      <x:c r="N164" s="69" t="n">
        <x:f>ROUND('Premissas'!$B$7*J164*SQRT(10/F164)*4*H164*(1-H164),1)</x:f>
        <x:v>50.5</x:v>
      </x:c>
      <x:c r="O164" s="66" t="str">
        <x:v>PROVISÓRIA</x:v>
      </x:c>
    </x:row>
    <x:row r="165">
      <x:c r="A165" s="56" t="str">
        <x:v>Escala comum 7º–9º</x:v>
      </x:c>
      <x:c r="B165" s="56" t="str">
        <x:v>7º ano</x:v>
      </x:c>
      <x:c r="C165" s="56" t="str">
        <x:v>MODELO_7_ANO</x:v>
      </x:c>
      <x:c r="D165" s="56" t="str">
        <x:v>LC</x:v>
      </x:c>
      <x:c r="E165" s="56" t="str">
        <x:v>Linguagens</x:v>
      </x:c>
      <x:c r="F165" s="56" t="n">
        <x:v>20</x:v>
      </x:c>
      <x:c r="G165" s="56" t="n">
        <x:v>7</x:v>
      </x:c>
      <x:c r="H165" s="70" t="n">
        <x:f>G165/F165</x:f>
        <x:v>0.35</x:v>
      </x:c>
      <x:c r="I165" s="59" t="n">
        <x:f>'Premissas'!$B$13</x:f>
        <x:v>-50</x:v>
      </x:c>
      <x:c r="J165" s="59" t="n">
        <x:f>'Premissas'!$G$13</x:f>
        <x:v>1</x:v>
      </x:c>
      <x:c r="K165" s="57" t="n">
        <x:f>ROUND(MAX('Premissas'!$B$5,L165-N165),1)</x:f>
        <x:v>268.8</x:v>
      </x:c>
      <x:c r="L165" s="57" t="n">
        <x:f>ROUND(MAX('Premissas'!$B$5,MIN('Premissas'!$B$6,'Premissas'!$B$5+('Premissas'!$B$6-'Premissas'!$B$5)*(3*H165^2-2*H165^3)+I165*4*H165*(1-H165))),1)</x:f>
        <x:v>323.5</x:v>
      </x:c>
      <x:c r="M165" s="57" t="n">
        <x:f>ROUND(MIN('Premissas'!$B$6,L165+N165),1)</x:f>
        <x:v>378.2</x:v>
      </x:c>
      <x:c r="N165" s="57" t="n">
        <x:f>ROUND('Premissas'!$B$7*J165*SQRT(10/F165)*4*H165*(1-H165),1)</x:f>
        <x:v>54.7</x:v>
      </x:c>
      <x:c r="O165" s="56" t="str">
        <x:v>PROVISÓRIA</x:v>
      </x:c>
    </x:row>
    <x:row r="166">
      <x:c r="A166" s="66" t="str">
        <x:v>Escala comum 7º–9º</x:v>
      </x:c>
      <x:c r="B166" s="66" t="str">
        <x:v>7º ano</x:v>
      </x:c>
      <x:c r="C166" s="66" t="str">
        <x:v>MODELO_7_ANO</x:v>
      </x:c>
      <x:c r="D166" s="66" t="str">
        <x:v>LC</x:v>
      </x:c>
      <x:c r="E166" s="66" t="str">
        <x:v>Linguagens</x:v>
      </x:c>
      <x:c r="F166" s="66" t="n">
        <x:v>20</x:v>
      </x:c>
      <x:c r="G166" s="66" t="n">
        <x:v>8</x:v>
      </x:c>
      <x:c r="H166" s="67" t="n">
        <x:f>G166/F166</x:f>
        <x:v>0.4</x:v>
      </x:c>
      <x:c r="I166" s="68" t="n">
        <x:f>'Premissas'!$B$13</x:f>
        <x:v>-50</x:v>
      </x:c>
      <x:c r="J166" s="68" t="n">
        <x:f>'Premissas'!$G$13</x:f>
        <x:v>1</x:v>
      </x:c>
      <x:c r="K166" s="69" t="n">
        <x:f>ROUND(MAX('Premissas'!$B$5,L166-N166),1)</x:f>
        <x:v>305.5</x:v>
      </x:c>
      <x:c r="L166" s="69" t="n">
        <x:f>ROUND(MAX('Premissas'!$B$5,MIN('Premissas'!$B$6,'Premissas'!$B$5+('Premissas'!$B$6-'Premissas'!$B$5)*(3*H166^2-2*H166^3)+I166*4*H166*(1-H166))),1)</x:f>
        <x:v>363.2</x:v>
      </x:c>
      <x:c r="M166" s="69" t="n">
        <x:f>ROUND(MIN('Premissas'!$B$6,L166+N166),1)</x:f>
        <x:v>420.9</x:v>
      </x:c>
      <x:c r="N166" s="69" t="n">
        <x:f>ROUND('Premissas'!$B$7*J166*SQRT(10/F166)*4*H166*(1-H166),1)</x:f>
        <x:v>57.7</x:v>
      </x:c>
      <x:c r="O166" s="66" t="str">
        <x:v>PROVISÓRIA</x:v>
      </x:c>
    </x:row>
    <x:row r="167">
      <x:c r="A167" s="56" t="str">
        <x:v>Escala comum 7º–9º</x:v>
      </x:c>
      <x:c r="B167" s="56" t="str">
        <x:v>7º ano</x:v>
      </x:c>
      <x:c r="C167" s="56" t="str">
        <x:v>MODELO_7_ANO</x:v>
      </x:c>
      <x:c r="D167" s="56" t="str">
        <x:v>LC</x:v>
      </x:c>
      <x:c r="E167" s="56" t="str">
        <x:v>Linguagens</x:v>
      </x:c>
      <x:c r="F167" s="56" t="n">
        <x:v>20</x:v>
      </x:c>
      <x:c r="G167" s="56" t="n">
        <x:v>9</x:v>
      </x:c>
      <x:c r="H167" s="70" t="n">
        <x:f>G167/F167</x:f>
        <x:v>0.45</x:v>
      </x:c>
      <x:c r="I167" s="59" t="n">
        <x:f>'Premissas'!$B$13</x:f>
        <x:v>-50</x:v>
      </x:c>
      <x:c r="J167" s="59" t="n">
        <x:f>'Premissas'!$G$13</x:f>
        <x:v>1</x:v>
      </x:c>
      <x:c r="K167" s="57" t="n">
        <x:f>ROUND(MAX('Premissas'!$B$5,L167-N167),1)</x:f>
        <x:v>346.2</x:v>
      </x:c>
      <x:c r="L167" s="57" t="n">
        <x:f>ROUND(MAX('Premissas'!$B$5,MIN('Premissas'!$B$6,'Premissas'!$B$5+('Premissas'!$B$6-'Premissas'!$B$5)*(3*H167^2-2*H167^3)+I167*4*H167*(1-H167))),1)</x:f>
        <x:v>405.7</x:v>
      </x:c>
      <x:c r="M167" s="57" t="n">
        <x:f>ROUND(MIN('Premissas'!$B$6,L167+N167),1)</x:f>
        <x:v>465.2</x:v>
      </x:c>
      <x:c r="N167" s="57" t="n">
        <x:f>ROUND('Premissas'!$B$7*J167*SQRT(10/F167)*4*H167*(1-H167),1)</x:f>
        <x:v>59.5</x:v>
      </x:c>
      <x:c r="O167" s="56" t="str">
        <x:v>PROVISÓRIA</x:v>
      </x:c>
    </x:row>
    <x:row r="168">
      <x:c r="A168" s="66" t="str">
        <x:v>Escala comum 7º–9º</x:v>
      </x:c>
      <x:c r="B168" s="66" t="str">
        <x:v>7º ano</x:v>
      </x:c>
      <x:c r="C168" s="66" t="str">
        <x:v>MODELO_7_ANO</x:v>
      </x:c>
      <x:c r="D168" s="66" t="str">
        <x:v>LC</x:v>
      </x:c>
      <x:c r="E168" s="66" t="str">
        <x:v>Linguagens</x:v>
      </x:c>
      <x:c r="F168" s="66" t="n">
        <x:v>20</x:v>
      </x:c>
      <x:c r="G168" s="66" t="n">
        <x:v>10</x:v>
      </x:c>
      <x:c r="H168" s="67" t="n">
        <x:f>G168/F168</x:f>
        <x:v>0.5</x:v>
      </x:c>
      <x:c r="I168" s="68" t="n">
        <x:f>'Premissas'!$B$13</x:f>
        <x:v>-50</x:v>
      </x:c>
      <x:c r="J168" s="68" t="n">
        <x:f>'Premissas'!$G$13</x:f>
        <x:v>1</x:v>
      </x:c>
      <x:c r="K168" s="69" t="n">
        <x:f>ROUND(MAX('Premissas'!$B$5,L168-N168),1)</x:f>
        <x:v>389.9</x:v>
      </x:c>
      <x:c r="L168" s="69" t="n">
        <x:f>ROUND(MAX('Premissas'!$B$5,MIN('Premissas'!$B$6,'Premissas'!$B$5+('Premissas'!$B$6-'Premissas'!$B$5)*(3*H168^2-2*H168^3)+I168*4*H168*(1-H168))),1)</x:f>
        <x:v>450</x:v>
      </x:c>
      <x:c r="M168" s="69" t="n">
        <x:f>ROUND(MIN('Premissas'!$B$6,L168+N168),1)</x:f>
        <x:v>510.1</x:v>
      </x:c>
      <x:c r="N168" s="69" t="n">
        <x:f>ROUND('Premissas'!$B$7*J168*SQRT(10/F168)*4*H168*(1-H168),1)</x:f>
        <x:v>60.1</x:v>
      </x:c>
      <x:c r="O168" s="66" t="str">
        <x:v>PROVISÓRIA</x:v>
      </x:c>
    </x:row>
    <x:row r="169">
      <x:c r="A169" s="56" t="str">
        <x:v>Escala comum 7º–9º</x:v>
      </x:c>
      <x:c r="B169" s="56" t="str">
        <x:v>7º ano</x:v>
      </x:c>
      <x:c r="C169" s="56" t="str">
        <x:v>MODELO_7_ANO</x:v>
      </x:c>
      <x:c r="D169" s="56" t="str">
        <x:v>LC</x:v>
      </x:c>
      <x:c r="E169" s="56" t="str">
        <x:v>Linguagens</x:v>
      </x:c>
      <x:c r="F169" s="56" t="n">
        <x:v>20</x:v>
      </x:c>
      <x:c r="G169" s="56" t="n">
        <x:v>11</x:v>
      </x:c>
      <x:c r="H169" s="70" t="n">
        <x:f>G169/F169</x:f>
        <x:v>0.55</x:v>
      </x:c>
      <x:c r="I169" s="59" t="n">
        <x:f>'Premissas'!$B$13</x:f>
        <x:v>-50</x:v>
      </x:c>
      <x:c r="J169" s="59" t="n">
        <x:f>'Premissas'!$G$13</x:f>
        <x:v>1</x:v>
      </x:c>
      <x:c r="K169" s="57" t="n">
        <x:f>ROUND(MAX('Premissas'!$B$5,L169-N169),1)</x:f>
        <x:v>435.9</x:v>
      </x:c>
      <x:c r="L169" s="57" t="n">
        <x:f>ROUND(MAX('Premissas'!$B$5,MIN('Premissas'!$B$6,'Premissas'!$B$5+('Premissas'!$B$6-'Premissas'!$B$5)*(3*H169^2-2*H169^3)+I169*4*H169*(1-H169))),1)</x:f>
        <x:v>495.4</x:v>
      </x:c>
      <x:c r="M169" s="57" t="n">
        <x:f>ROUND(MIN('Premissas'!$B$6,L169+N169),1)</x:f>
        <x:v>554.9</x:v>
      </x:c>
      <x:c r="N169" s="57" t="n">
        <x:f>ROUND('Premissas'!$B$7*J169*SQRT(10/F169)*4*H169*(1-H169),1)</x:f>
        <x:v>59.5</x:v>
      </x:c>
      <x:c r="O169" s="56" t="str">
        <x:v>PROVISÓRIA</x:v>
      </x:c>
    </x:row>
    <x:row r="170">
      <x:c r="A170" s="66" t="str">
        <x:v>Escala comum 7º–9º</x:v>
      </x:c>
      <x:c r="B170" s="66" t="str">
        <x:v>7º ano</x:v>
      </x:c>
      <x:c r="C170" s="66" t="str">
        <x:v>MODELO_7_ANO</x:v>
      </x:c>
      <x:c r="D170" s="66" t="str">
        <x:v>LC</x:v>
      </x:c>
      <x:c r="E170" s="66" t="str">
        <x:v>Linguagens</x:v>
      </x:c>
      <x:c r="F170" s="66" t="n">
        <x:v>20</x:v>
      </x:c>
      <x:c r="G170" s="66" t="n">
        <x:v>12</x:v>
      </x:c>
      <x:c r="H170" s="67" t="n">
        <x:f>G170/F170</x:f>
        <x:v>0.6</x:v>
      </x:c>
      <x:c r="I170" s="68" t="n">
        <x:f>'Premissas'!$B$13</x:f>
        <x:v>-50</x:v>
      </x:c>
      <x:c r="J170" s="68" t="n">
        <x:f>'Premissas'!$G$13</x:f>
        <x:v>1</x:v>
      </x:c>
      <x:c r="K170" s="69" t="n">
        <x:f>ROUND(MAX('Premissas'!$B$5,L170-N170),1)</x:f>
        <x:v>483.1</x:v>
      </x:c>
      <x:c r="L170" s="69" t="n">
        <x:f>ROUND(MAX('Premissas'!$B$5,MIN('Premissas'!$B$6,'Premissas'!$B$5+('Premissas'!$B$6-'Premissas'!$B$5)*(3*H170^2-2*H170^3)+I170*4*H170*(1-H170))),1)</x:f>
        <x:v>540.8</x:v>
      </x:c>
      <x:c r="M170" s="69" t="n">
        <x:f>ROUND(MIN('Premissas'!$B$6,L170+N170),1)</x:f>
        <x:v>598.5</x:v>
      </x:c>
      <x:c r="N170" s="69" t="n">
        <x:f>ROUND('Premissas'!$B$7*J170*SQRT(10/F170)*4*H170*(1-H170),1)</x:f>
        <x:v>57.7</x:v>
      </x:c>
      <x:c r="O170" s="66" t="str">
        <x:v>PROVISÓRIA</x:v>
      </x:c>
    </x:row>
    <x:row r="171">
      <x:c r="A171" s="56" t="str">
        <x:v>Escala comum 7º–9º</x:v>
      </x:c>
      <x:c r="B171" s="56" t="str">
        <x:v>7º ano</x:v>
      </x:c>
      <x:c r="C171" s="56" t="str">
        <x:v>MODELO_7_ANO</x:v>
      </x:c>
      <x:c r="D171" s="56" t="str">
        <x:v>LC</x:v>
      </x:c>
      <x:c r="E171" s="56" t="str">
        <x:v>Linguagens</x:v>
      </x:c>
      <x:c r="F171" s="56" t="n">
        <x:v>20</x:v>
      </x:c>
      <x:c r="G171" s="56" t="n">
        <x:v>13</x:v>
      </x:c>
      <x:c r="H171" s="70" t="n">
        <x:f>G171/F171</x:f>
        <x:v>0.65</x:v>
      </x:c>
      <x:c r="I171" s="59" t="n">
        <x:f>'Premissas'!$B$13</x:f>
        <x:v>-50</x:v>
      </x:c>
      <x:c r="J171" s="59" t="n">
        <x:f>'Premissas'!$G$13</x:f>
        <x:v>1</x:v>
      </x:c>
      <x:c r="K171" s="57" t="n">
        <x:f>ROUND(MAX('Premissas'!$B$5,L171-N171),1)</x:f>
        <x:v>530.8</x:v>
      </x:c>
      <x:c r="L171" s="57" t="n">
        <x:f>ROUND(MAX('Premissas'!$B$5,MIN('Premissas'!$B$6,'Premissas'!$B$5+('Premissas'!$B$6-'Premissas'!$B$5)*(3*H171^2-2*H171^3)+I171*4*H171*(1-H171))),1)</x:f>
        <x:v>585.5</x:v>
      </x:c>
      <x:c r="M171" s="57" t="n">
        <x:f>ROUND(MIN('Premissas'!$B$6,L171+N171),1)</x:f>
        <x:v>640.2</x:v>
      </x:c>
      <x:c r="N171" s="57" t="n">
        <x:f>ROUND('Premissas'!$B$7*J171*SQRT(10/F171)*4*H171*(1-H171),1)</x:f>
        <x:v>54.7</x:v>
      </x:c>
      <x:c r="O171" s="56" t="str">
        <x:v>PROVISÓRIA</x:v>
      </x:c>
    </x:row>
    <x:row r="172">
      <x:c r="A172" s="66" t="str">
        <x:v>Escala comum 7º–9º</x:v>
      </x:c>
      <x:c r="B172" s="66" t="str">
        <x:v>7º ano</x:v>
      </x:c>
      <x:c r="C172" s="66" t="str">
        <x:v>MODELO_7_ANO</x:v>
      </x:c>
      <x:c r="D172" s="66" t="str">
        <x:v>LC</x:v>
      </x:c>
      <x:c r="E172" s="66" t="str">
        <x:v>Linguagens</x:v>
      </x:c>
      <x:c r="F172" s="66" t="n">
        <x:v>20</x:v>
      </x:c>
      <x:c r="G172" s="66" t="n">
        <x:v>14</x:v>
      </x:c>
      <x:c r="H172" s="67" t="n">
        <x:f>G172/F172</x:f>
        <x:v>0.7</x:v>
      </x:c>
      <x:c r="I172" s="68" t="n">
        <x:f>'Premissas'!$B$13</x:f>
        <x:v>-50</x:v>
      </x:c>
      <x:c r="J172" s="68" t="n">
        <x:f>'Premissas'!$G$13</x:f>
        <x:v>1</x:v>
      </x:c>
      <x:c r="K172" s="69" t="n">
        <x:f>ROUND(MAX('Premissas'!$B$5,L172-N172),1)</x:f>
        <x:v>577.9</x:v>
      </x:c>
      <x:c r="L172" s="69" t="n">
        <x:f>ROUND(MAX('Premissas'!$B$5,MIN('Premissas'!$B$6,'Premissas'!$B$5+('Premissas'!$B$6-'Premissas'!$B$5)*(3*H172^2-2*H172^3)+I172*4*H172*(1-H172))),1)</x:f>
        <x:v>628.4</x:v>
      </x:c>
      <x:c r="M172" s="69" t="n">
        <x:f>ROUND(MIN('Premissas'!$B$6,L172+N172),1)</x:f>
        <x:v>678.9</x:v>
      </x:c>
      <x:c r="N172" s="69" t="n">
        <x:f>ROUND('Premissas'!$B$7*J172*SQRT(10/F172)*4*H172*(1-H172),1)</x:f>
        <x:v>50.5</x:v>
      </x:c>
      <x:c r="O172" s="66" t="str">
        <x:v>PROVISÓRIA</x:v>
      </x:c>
    </x:row>
    <x:row r="173">
      <x:c r="A173" s="56" t="str">
        <x:v>Escala comum 7º–9º</x:v>
      </x:c>
      <x:c r="B173" s="56" t="str">
        <x:v>7º ano</x:v>
      </x:c>
      <x:c r="C173" s="56" t="str">
        <x:v>MODELO_7_ANO</x:v>
      </x:c>
      <x:c r="D173" s="56" t="str">
        <x:v>LC</x:v>
      </x:c>
      <x:c r="E173" s="56" t="str">
        <x:v>Linguagens</x:v>
      </x:c>
      <x:c r="F173" s="56" t="n">
        <x:v>20</x:v>
      </x:c>
      <x:c r="G173" s="56" t="n">
        <x:v>15</x:v>
      </x:c>
      <x:c r="H173" s="70" t="n">
        <x:f>G173/F173</x:f>
        <x:v>0.75</x:v>
      </x:c>
      <x:c r="I173" s="59" t="n">
        <x:f>'Premissas'!$B$13</x:f>
        <x:v>-50</x:v>
      </x:c>
      <x:c r="J173" s="59" t="n">
        <x:f>'Premissas'!$G$13</x:f>
        <x:v>1</x:v>
      </x:c>
      <x:c r="K173" s="57" t="n">
        <x:f>ROUND(MAX('Premissas'!$B$5,L173-N173),1)</x:f>
        <x:v>623.7</x:v>
      </x:c>
      <x:c r="L173" s="57" t="n">
        <x:f>ROUND(MAX('Premissas'!$B$5,MIN('Premissas'!$B$6,'Premissas'!$B$5+('Premissas'!$B$6-'Premissas'!$B$5)*(3*H173^2-2*H173^3)+I173*4*H173*(1-H173))),1)</x:f>
        <x:v>668.8</x:v>
      </x:c>
      <x:c r="M173" s="57" t="n">
        <x:f>ROUND(MIN('Premissas'!$B$6,L173+N173),1)</x:f>
        <x:v>713.9</x:v>
      </x:c>
      <x:c r="N173" s="57" t="n">
        <x:f>ROUND('Premissas'!$B$7*J173*SQRT(10/F173)*4*H173*(1-H173),1)</x:f>
        <x:v>45.1</x:v>
      </x:c>
      <x:c r="O173" s="56" t="str">
        <x:v>PROVISÓRIA</x:v>
      </x:c>
    </x:row>
    <x:row r="174">
      <x:c r="A174" s="66" t="str">
        <x:v>Escala comum 7º–9º</x:v>
      </x:c>
      <x:c r="B174" s="66" t="str">
        <x:v>7º ano</x:v>
      </x:c>
      <x:c r="C174" s="66" t="str">
        <x:v>MODELO_7_ANO</x:v>
      </x:c>
      <x:c r="D174" s="66" t="str">
        <x:v>LC</x:v>
      </x:c>
      <x:c r="E174" s="66" t="str">
        <x:v>Linguagens</x:v>
      </x:c>
      <x:c r="F174" s="66" t="n">
        <x:v>20</x:v>
      </x:c>
      <x:c r="G174" s="66" t="n">
        <x:v>16</x:v>
      </x:c>
      <x:c r="H174" s="67" t="n">
        <x:f>G174/F174</x:f>
        <x:v>0.8</x:v>
      </x:c>
      <x:c r="I174" s="68" t="n">
        <x:f>'Premissas'!$B$13</x:f>
        <x:v>-50</x:v>
      </x:c>
      <x:c r="J174" s="68" t="n">
        <x:f>'Premissas'!$G$13</x:f>
        <x:v>1</x:v>
      </x:c>
      <x:c r="K174" s="69" t="n">
        <x:f>ROUND(MAX('Premissas'!$B$5,L174-N174),1)</x:f>
        <x:v>667.1</x:v>
      </x:c>
      <x:c r="L174" s="69" t="n">
        <x:f>ROUND(MAX('Premissas'!$B$5,MIN('Premissas'!$B$6,'Premissas'!$B$5+('Premissas'!$B$6-'Premissas'!$B$5)*(3*H174^2-2*H174^3)+I174*4*H174*(1-H174))),1)</x:f>
        <x:v>705.6</x:v>
      </x:c>
      <x:c r="M174" s="69" t="n">
        <x:f>ROUND(MIN('Premissas'!$B$6,L174+N174),1)</x:f>
        <x:v>744.1</x:v>
      </x:c>
      <x:c r="N174" s="69" t="n">
        <x:f>ROUND('Premissas'!$B$7*J174*SQRT(10/F174)*4*H174*(1-H174),1)</x:f>
        <x:v>38.5</x:v>
      </x:c>
      <x:c r="O174" s="66" t="str">
        <x:v>PROVISÓRIA</x:v>
      </x:c>
    </x:row>
    <x:row r="175">
      <x:c r="A175" s="56" t="str">
        <x:v>Escala comum 7º–9º</x:v>
      </x:c>
      <x:c r="B175" s="56" t="str">
        <x:v>7º ano</x:v>
      </x:c>
      <x:c r="C175" s="56" t="str">
        <x:v>MODELO_7_ANO</x:v>
      </x:c>
      <x:c r="D175" s="56" t="str">
        <x:v>LC</x:v>
      </x:c>
      <x:c r="E175" s="56" t="str">
        <x:v>Linguagens</x:v>
      </x:c>
      <x:c r="F175" s="56" t="n">
        <x:v>20</x:v>
      </x:c>
      <x:c r="G175" s="56" t="n">
        <x:v>17</x:v>
      </x:c>
      <x:c r="H175" s="70" t="n">
        <x:f>G175/F175</x:f>
        <x:v>0.85</x:v>
      </x:c>
      <x:c r="I175" s="59" t="n">
        <x:f>'Premissas'!$B$13</x:f>
        <x:v>-50</x:v>
      </x:c>
      <x:c r="J175" s="59" t="n">
        <x:f>'Premissas'!$G$13</x:f>
        <x:v>1</x:v>
      </x:c>
      <x:c r="K175" s="57" t="n">
        <x:f>ROUND(MAX('Premissas'!$B$5,L175-N175),1)</x:f>
        <x:v>707.3</x:v>
      </x:c>
      <x:c r="L175" s="57" t="n">
        <x:f>ROUND(MAX('Premissas'!$B$5,MIN('Premissas'!$B$6,'Premissas'!$B$5+('Premissas'!$B$6-'Premissas'!$B$5)*(3*H175^2-2*H175^3)+I175*4*H175*(1-H175))),1)</x:f>
        <x:v>738</x:v>
      </x:c>
      <x:c r="M175" s="57" t="n">
        <x:f>ROUND(MIN('Premissas'!$B$6,L175+N175),1)</x:f>
        <x:v>768.7</x:v>
      </x:c>
      <x:c r="N175" s="57" t="n">
        <x:f>ROUND('Premissas'!$B$7*J175*SQRT(10/F175)*4*H175*(1-H175),1)</x:f>
        <x:v>30.7</x:v>
      </x:c>
      <x:c r="O175" s="56" t="str">
        <x:v>PROVISÓRIA</x:v>
      </x:c>
    </x:row>
    <x:row r="176">
      <x:c r="A176" s="66" t="str">
        <x:v>Escala comum 7º–9º</x:v>
      </x:c>
      <x:c r="B176" s="66" t="str">
        <x:v>7º ano</x:v>
      </x:c>
      <x:c r="C176" s="66" t="str">
        <x:v>MODELO_7_ANO</x:v>
      </x:c>
      <x:c r="D176" s="66" t="str">
        <x:v>LC</x:v>
      </x:c>
      <x:c r="E176" s="66" t="str">
        <x:v>Linguagens</x:v>
      </x:c>
      <x:c r="F176" s="66" t="n">
        <x:v>20</x:v>
      </x:c>
      <x:c r="G176" s="66" t="n">
        <x:v>18</x:v>
      </x:c>
      <x:c r="H176" s="67" t="n">
        <x:f>G176/F176</x:f>
        <x:v>0.9</x:v>
      </x:c>
      <x:c r="I176" s="68" t="n">
        <x:f>'Premissas'!$B$13</x:f>
        <x:v>-50</x:v>
      </x:c>
      <x:c r="J176" s="68" t="n">
        <x:f>'Premissas'!$G$13</x:f>
        <x:v>1</x:v>
      </x:c>
      <x:c r="K176" s="69" t="n">
        <x:f>ROUND(MAX('Premissas'!$B$5,L176-N176),1)</x:f>
        <x:v>743.6</x:v>
      </x:c>
      <x:c r="L176" s="69" t="n">
        <x:f>ROUND(MAX('Premissas'!$B$5,MIN('Premissas'!$B$6,'Premissas'!$B$5+('Premissas'!$B$6-'Premissas'!$B$5)*(3*H176^2-2*H176^3)+I176*4*H176*(1-H176))),1)</x:f>
        <x:v>765.2</x:v>
      </x:c>
      <x:c r="M176" s="69" t="n">
        <x:f>ROUND(MIN('Premissas'!$B$6,L176+N176),1)</x:f>
        <x:v>786.8</x:v>
      </x:c>
      <x:c r="N176" s="69" t="n">
        <x:f>ROUND('Premissas'!$B$7*J176*SQRT(10/F176)*4*H176*(1-H176),1)</x:f>
        <x:v>21.6</x:v>
      </x:c>
      <x:c r="O176" s="66" t="str">
        <x:v>PROVISÓRIA</x:v>
      </x:c>
    </x:row>
    <x:row r="177">
      <x:c r="A177" s="56" t="str">
        <x:v>Escala comum 7º–9º</x:v>
      </x:c>
      <x:c r="B177" s="56" t="str">
        <x:v>7º ano</x:v>
      </x:c>
      <x:c r="C177" s="56" t="str">
        <x:v>MODELO_7_ANO</x:v>
      </x:c>
      <x:c r="D177" s="56" t="str">
        <x:v>LC</x:v>
      </x:c>
      <x:c r="E177" s="56" t="str">
        <x:v>Linguagens</x:v>
      </x:c>
      <x:c r="F177" s="56" t="n">
        <x:v>20</x:v>
      </x:c>
      <x:c r="G177" s="56" t="n">
        <x:v>19</x:v>
      </x:c>
      <x:c r="H177" s="70" t="n">
        <x:f>G177/F177</x:f>
        <x:v>0.95</x:v>
      </x:c>
      <x:c r="I177" s="59" t="n">
        <x:f>'Premissas'!$B$13</x:f>
        <x:v>-50</x:v>
      </x:c>
      <x:c r="J177" s="59" t="n">
        <x:f>'Premissas'!$G$13</x:f>
        <x:v>1</x:v>
      </x:c>
      <x:c r="K177" s="57" t="n">
        <x:f>ROUND(MAX('Premissas'!$B$5,L177-N177),1)</x:f>
        <x:v>774.8</x:v>
      </x:c>
      <x:c r="L177" s="57" t="n">
        <x:f>ROUND(MAX('Premissas'!$B$5,MIN('Premissas'!$B$6,'Premissas'!$B$5+('Premissas'!$B$6-'Premissas'!$B$5)*(3*H177^2-2*H177^3)+I177*4*H177*(1-H177))),1)</x:f>
        <x:v>786.2</x:v>
      </x:c>
      <x:c r="M177" s="57" t="n">
        <x:f>ROUND(MIN('Premissas'!$B$6,L177+N177),1)</x:f>
        <x:v>797.6</x:v>
      </x:c>
      <x:c r="N177" s="57" t="n">
        <x:f>ROUND('Premissas'!$B$7*J177*SQRT(10/F177)*4*H177*(1-H177),1)</x:f>
        <x:v>11.4</x:v>
      </x:c>
      <x:c r="O177" s="56" t="str">
        <x:v>PROVISÓRIA</x:v>
      </x:c>
    </x:row>
    <x:row r="178">
      <x:c r="A178" s="66" t="str">
        <x:v>Escala comum 7º–9º</x:v>
      </x:c>
      <x:c r="B178" s="66" t="str">
        <x:v>7º ano</x:v>
      </x:c>
      <x:c r="C178" s="66" t="str">
        <x:v>MODELO_7_ANO</x:v>
      </x:c>
      <x:c r="D178" s="66" t="str">
        <x:v>LC</x:v>
      </x:c>
      <x:c r="E178" s="66" t="str">
        <x:v>Linguagens</x:v>
      </x:c>
      <x:c r="F178" s="66" t="n">
        <x:v>20</x:v>
      </x:c>
      <x:c r="G178" s="66" t="n">
        <x:v>20</x:v>
      </x:c>
      <x:c r="H178" s="67" t="n">
        <x:f>G178/F178</x:f>
        <x:v>1</x:v>
      </x:c>
      <x:c r="I178" s="68" t="n">
        <x:f>'Premissas'!$B$13</x:f>
        <x:v>-50</x:v>
      </x:c>
      <x:c r="J178" s="68" t="n">
        <x:f>'Premissas'!$G$13</x:f>
        <x:v>1</x:v>
      </x:c>
      <x:c r="K178" s="69" t="n">
        <x:f>ROUND(MAX('Premissas'!$B$5,L178-N178),1)</x:f>
        <x:v>800</x:v>
      </x:c>
      <x:c r="L178" s="69" t="n">
        <x:f>ROUND(MAX('Premissas'!$B$5,MIN('Premissas'!$B$6,'Premissas'!$B$5+('Premissas'!$B$6-'Premissas'!$B$5)*(3*H178^2-2*H178^3)+I178*4*H178*(1-H178))),1)</x:f>
        <x:v>800</x:v>
      </x:c>
      <x:c r="M178" s="69" t="n">
        <x:f>ROUND(MIN('Premissas'!$B$6,L178+N178),1)</x:f>
        <x:v>800</x:v>
      </x:c>
      <x:c r="N178" s="69" t="n">
        <x:f>ROUND('Premissas'!$B$7*J178*SQRT(10/F178)*4*H178*(1-H178),1)</x:f>
        <x:v>0</x:v>
      </x:c>
      <x:c r="O178" s="66" t="str">
        <x:v>PROVISÓRIA</x:v>
      </x:c>
    </x:row>
    <x:row r="179">
      <x:c r="A179" s="56" t="str">
        <x:v>Escala comum 7º–9º</x:v>
      </x:c>
      <x:c r="B179" s="56" t="str">
        <x:v>7º ano</x:v>
      </x:c>
      <x:c r="C179" s="56" t="str">
        <x:v>MODELO_7_ANO</x:v>
      </x:c>
      <x:c r="D179" s="56" t="str">
        <x:v>MT</x:v>
      </x:c>
      <x:c r="E179" s="56" t="str">
        <x:v>Matemática</x:v>
      </x:c>
      <x:c r="F179" s="56" t="n">
        <x:v>10</x:v>
      </x:c>
      <x:c r="G179" s="56" t="n">
        <x:v>0</x:v>
      </x:c>
      <x:c r="H179" s="70" t="n">
        <x:f>G179/F179</x:f>
        <x:v>0</x:v>
      </x:c>
      <x:c r="I179" s="59" t="n">
        <x:f>'Premissas'!$B$13</x:f>
        <x:v>-50</x:v>
      </x:c>
      <x:c r="J179" s="59" t="n">
        <x:f>'Premissas'!$G$14</x:f>
        <x:v>1</x:v>
      </x:c>
      <x:c r="K179" s="57" t="n">
        <x:f>ROUND(MAX('Premissas'!$B$5,L179-N179),1)</x:f>
        <x:v>200</x:v>
      </x:c>
      <x:c r="L179" s="57" t="n">
        <x:f>ROUND(MAX('Premissas'!$B$5,MIN('Premissas'!$B$6,'Premissas'!$B$5+('Premissas'!$B$6-'Premissas'!$B$5)*(3*H179^2-2*H179^3)+I179*4*H179*(1-H179))),1)</x:f>
        <x:v>200</x:v>
      </x:c>
      <x:c r="M179" s="57" t="n">
        <x:f>ROUND(MIN('Premissas'!$B$6,L179+N179),1)</x:f>
        <x:v>200</x:v>
      </x:c>
      <x:c r="N179" s="57" t="n">
        <x:f>ROUND('Premissas'!$B$7*J179*SQRT(10/F179)*4*H179*(1-H179),1)</x:f>
        <x:v>0</x:v>
      </x:c>
      <x:c r="O179" s="56" t="str">
        <x:v>PROVISÓRIA</x:v>
      </x:c>
    </x:row>
    <x:row r="180">
      <x:c r="A180" s="66" t="str">
        <x:v>Escala comum 7º–9º</x:v>
      </x:c>
      <x:c r="B180" s="66" t="str">
        <x:v>7º ano</x:v>
      </x:c>
      <x:c r="C180" s="66" t="str">
        <x:v>MODELO_7_ANO</x:v>
      </x:c>
      <x:c r="D180" s="66" t="str">
        <x:v>MT</x:v>
      </x:c>
      <x:c r="E180" s="66" t="str">
        <x:v>Matemática</x:v>
      </x:c>
      <x:c r="F180" s="66" t="n">
        <x:v>10</x:v>
      </x:c>
      <x:c r="G180" s="66" t="n">
        <x:v>1</x:v>
      </x:c>
      <x:c r="H180" s="67" t="n">
        <x:f>G180/F180</x:f>
        <x:v>0.1</x:v>
      </x:c>
      <x:c r="I180" s="68" t="n">
        <x:f>'Premissas'!$B$13</x:f>
        <x:v>-50</x:v>
      </x:c>
      <x:c r="J180" s="68" t="n">
        <x:f>'Premissas'!$G$14</x:f>
        <x:v>1</x:v>
      </x:c>
      <x:c r="K180" s="69" t="n">
        <x:f>ROUND(MAX('Premissas'!$B$5,L180-N180),1)</x:f>
        <x:v>200</x:v>
      </x:c>
      <x:c r="L180" s="69" t="n">
        <x:f>ROUND(MAX('Premissas'!$B$5,MIN('Premissas'!$B$6,'Premissas'!$B$5+('Premissas'!$B$6-'Premissas'!$B$5)*(3*H180^2-2*H180^3)+I180*4*H180*(1-H180))),1)</x:f>
        <x:v>200</x:v>
      </x:c>
      <x:c r="M180" s="69" t="n">
        <x:f>ROUND(MIN('Premissas'!$B$6,L180+N180),1)</x:f>
        <x:v>230.6</x:v>
      </x:c>
      <x:c r="N180" s="69" t="n">
        <x:f>ROUND('Premissas'!$B$7*J180*SQRT(10/F180)*4*H180*(1-H180),1)</x:f>
        <x:v>30.6</x:v>
      </x:c>
      <x:c r="O180" s="66" t="str">
        <x:v>PROVISÓRIA</x:v>
      </x:c>
    </x:row>
    <x:row r="181">
      <x:c r="A181" s="56" t="str">
        <x:v>Escala comum 7º–9º</x:v>
      </x:c>
      <x:c r="B181" s="56" t="str">
        <x:v>7º ano</x:v>
      </x:c>
      <x:c r="C181" s="56" t="str">
        <x:v>MODELO_7_ANO</x:v>
      </x:c>
      <x:c r="D181" s="56" t="str">
        <x:v>MT</x:v>
      </x:c>
      <x:c r="E181" s="56" t="str">
        <x:v>Matemática</x:v>
      </x:c>
      <x:c r="F181" s="56" t="n">
        <x:v>10</x:v>
      </x:c>
      <x:c r="G181" s="56" t="n">
        <x:v>2</x:v>
      </x:c>
      <x:c r="H181" s="70" t="n">
        <x:f>G181/F181</x:f>
        <x:v>0.2</x:v>
      </x:c>
      <x:c r="I181" s="59" t="n">
        <x:f>'Premissas'!$B$13</x:f>
        <x:v>-50</x:v>
      </x:c>
      <x:c r="J181" s="59" t="n">
        <x:f>'Premissas'!$G$14</x:f>
        <x:v>1</x:v>
      </x:c>
      <x:c r="K181" s="57" t="n">
        <x:f>ROUND(MAX('Premissas'!$B$5,L181-N181),1)</x:f>
        <x:v>200</x:v>
      </x:c>
      <x:c r="L181" s="57" t="n">
        <x:f>ROUND(MAX('Premissas'!$B$5,MIN('Premissas'!$B$6,'Premissas'!$B$5+('Premissas'!$B$6-'Premissas'!$B$5)*(3*H181^2-2*H181^3)+I181*4*H181*(1-H181))),1)</x:f>
        <x:v>230.4</x:v>
      </x:c>
      <x:c r="M181" s="57" t="n">
        <x:f>ROUND(MIN('Premissas'!$B$6,L181+N181),1)</x:f>
        <x:v>284.8</x:v>
      </x:c>
      <x:c r="N181" s="57" t="n">
        <x:f>ROUND('Premissas'!$B$7*J181*SQRT(10/F181)*4*H181*(1-H181),1)</x:f>
        <x:v>54.4</x:v>
      </x:c>
      <x:c r="O181" s="56" t="str">
        <x:v>PROVISÓRIA</x:v>
      </x:c>
    </x:row>
    <x:row r="182">
      <x:c r="A182" s="66" t="str">
        <x:v>Escala comum 7º–9º</x:v>
      </x:c>
      <x:c r="B182" s="66" t="str">
        <x:v>7º ano</x:v>
      </x:c>
      <x:c r="C182" s="66" t="str">
        <x:v>MODELO_7_ANO</x:v>
      </x:c>
      <x:c r="D182" s="66" t="str">
        <x:v>MT</x:v>
      </x:c>
      <x:c r="E182" s="66" t="str">
        <x:v>Matemática</x:v>
      </x:c>
      <x:c r="F182" s="66" t="n">
        <x:v>10</x:v>
      </x:c>
      <x:c r="G182" s="66" t="n">
        <x:v>3</x:v>
      </x:c>
      <x:c r="H182" s="67" t="n">
        <x:f>G182/F182</x:f>
        <x:v>0.3</x:v>
      </x:c>
      <x:c r="I182" s="68" t="n">
        <x:f>'Premissas'!$B$13</x:f>
        <x:v>-50</x:v>
      </x:c>
      <x:c r="J182" s="68" t="n">
        <x:f>'Premissas'!$G$14</x:f>
        <x:v>1</x:v>
      </x:c>
      <x:c r="K182" s="69" t="n">
        <x:f>ROUND(MAX('Premissas'!$B$5,L182-N182),1)</x:f>
        <x:v>216.2</x:v>
      </x:c>
      <x:c r="L182" s="69" t="n">
        <x:f>ROUND(MAX('Premissas'!$B$5,MIN('Premissas'!$B$6,'Premissas'!$B$5+('Premissas'!$B$6-'Premissas'!$B$5)*(3*H182^2-2*H182^3)+I182*4*H182*(1-H182))),1)</x:f>
        <x:v>287.6</x:v>
      </x:c>
      <x:c r="M182" s="69" t="n">
        <x:f>ROUND(MIN('Premissas'!$B$6,L182+N182),1)</x:f>
        <x:v>359</x:v>
      </x:c>
      <x:c r="N182" s="69" t="n">
        <x:f>ROUND('Premissas'!$B$7*J182*SQRT(10/F182)*4*H182*(1-H182),1)</x:f>
        <x:v>71.4</x:v>
      </x:c>
      <x:c r="O182" s="66" t="str">
        <x:v>PROVISÓRIA</x:v>
      </x:c>
    </x:row>
    <x:row r="183">
      <x:c r="A183" s="56" t="str">
        <x:v>Escala comum 7º–9º</x:v>
      </x:c>
      <x:c r="B183" s="56" t="str">
        <x:v>7º ano</x:v>
      </x:c>
      <x:c r="C183" s="56" t="str">
        <x:v>MODELO_7_ANO</x:v>
      </x:c>
      <x:c r="D183" s="56" t="str">
        <x:v>MT</x:v>
      </x:c>
      <x:c r="E183" s="56" t="str">
        <x:v>Matemática</x:v>
      </x:c>
      <x:c r="F183" s="56" t="n">
        <x:v>10</x:v>
      </x:c>
      <x:c r="G183" s="56" t="n">
        <x:v>4</x:v>
      </x:c>
      <x:c r="H183" s="70" t="n">
        <x:f>G183/F183</x:f>
        <x:v>0.4</x:v>
      </x:c>
      <x:c r="I183" s="59" t="n">
        <x:f>'Premissas'!$B$13</x:f>
        <x:v>-50</x:v>
      </x:c>
      <x:c r="J183" s="59" t="n">
        <x:f>'Premissas'!$G$14</x:f>
        <x:v>1</x:v>
      </x:c>
      <x:c r="K183" s="57" t="n">
        <x:f>ROUND(MAX('Premissas'!$B$5,L183-N183),1)</x:f>
        <x:v>281.6</x:v>
      </x:c>
      <x:c r="L183" s="57" t="n">
        <x:f>ROUND(MAX('Premissas'!$B$5,MIN('Premissas'!$B$6,'Premissas'!$B$5+('Premissas'!$B$6-'Premissas'!$B$5)*(3*H183^2-2*H183^3)+I183*4*H183*(1-H183))),1)</x:f>
        <x:v>363.2</x:v>
      </x:c>
      <x:c r="M183" s="57" t="n">
        <x:f>ROUND(MIN('Premissas'!$B$6,L183+N183),1)</x:f>
        <x:v>444.8</x:v>
      </x:c>
      <x:c r="N183" s="57" t="n">
        <x:f>ROUND('Premissas'!$B$7*J183*SQRT(10/F183)*4*H183*(1-H183),1)</x:f>
        <x:v>81.6</x:v>
      </x:c>
      <x:c r="O183" s="56" t="str">
        <x:v>PROVISÓRIA</x:v>
      </x:c>
    </x:row>
    <x:row r="184">
      <x:c r="A184" s="66" t="str">
        <x:v>Escala comum 7º–9º</x:v>
      </x:c>
      <x:c r="B184" s="66" t="str">
        <x:v>7º ano</x:v>
      </x:c>
      <x:c r="C184" s="66" t="str">
        <x:v>MODELO_7_ANO</x:v>
      </x:c>
      <x:c r="D184" s="66" t="str">
        <x:v>MT</x:v>
      </x:c>
      <x:c r="E184" s="66" t="str">
        <x:v>Matemática</x:v>
      </x:c>
      <x:c r="F184" s="66" t="n">
        <x:v>10</x:v>
      </x:c>
      <x:c r="G184" s="66" t="n">
        <x:v>5</x:v>
      </x:c>
      <x:c r="H184" s="67" t="n">
        <x:f>G184/F184</x:f>
        <x:v>0.5</x:v>
      </x:c>
      <x:c r="I184" s="68" t="n">
        <x:f>'Premissas'!$B$13</x:f>
        <x:v>-50</x:v>
      </x:c>
      <x:c r="J184" s="68" t="n">
        <x:f>'Premissas'!$G$14</x:f>
        <x:v>1</x:v>
      </x:c>
      <x:c r="K184" s="69" t="n">
        <x:f>ROUND(MAX('Premissas'!$B$5,L184-N184),1)</x:f>
        <x:v>365</x:v>
      </x:c>
      <x:c r="L184" s="69" t="n">
        <x:f>ROUND(MAX('Premissas'!$B$5,MIN('Premissas'!$B$6,'Premissas'!$B$5+('Premissas'!$B$6-'Premissas'!$B$5)*(3*H184^2-2*H184^3)+I184*4*H184*(1-H184))),1)</x:f>
        <x:v>450</x:v>
      </x:c>
      <x:c r="M184" s="69" t="n">
        <x:f>ROUND(MIN('Premissas'!$B$6,L184+N184),1)</x:f>
        <x:v>535</x:v>
      </x:c>
      <x:c r="N184" s="69" t="n">
        <x:f>ROUND('Premissas'!$B$7*J184*SQRT(10/F184)*4*H184*(1-H184),1)</x:f>
        <x:v>85</x:v>
      </x:c>
      <x:c r="O184" s="66" t="str">
        <x:v>PROVISÓRIA</x:v>
      </x:c>
    </x:row>
    <x:row r="185">
      <x:c r="A185" s="56" t="str">
        <x:v>Escala comum 7º–9º</x:v>
      </x:c>
      <x:c r="B185" s="56" t="str">
        <x:v>7º ano</x:v>
      </x:c>
      <x:c r="C185" s="56" t="str">
        <x:v>MODELO_7_ANO</x:v>
      </x:c>
      <x:c r="D185" s="56" t="str">
        <x:v>MT</x:v>
      </x:c>
      <x:c r="E185" s="56" t="str">
        <x:v>Matemática</x:v>
      </x:c>
      <x:c r="F185" s="56" t="n">
        <x:v>10</x:v>
      </x:c>
      <x:c r="G185" s="56" t="n">
        <x:v>6</x:v>
      </x:c>
      <x:c r="H185" s="70" t="n">
        <x:f>G185/F185</x:f>
        <x:v>0.6</x:v>
      </x:c>
      <x:c r="I185" s="59" t="n">
        <x:f>'Premissas'!$B$13</x:f>
        <x:v>-50</x:v>
      </x:c>
      <x:c r="J185" s="59" t="n">
        <x:f>'Premissas'!$G$14</x:f>
        <x:v>1</x:v>
      </x:c>
      <x:c r="K185" s="57" t="n">
        <x:f>ROUND(MAX('Premissas'!$B$5,L185-N185),1)</x:f>
        <x:v>459.2</x:v>
      </x:c>
      <x:c r="L185" s="57" t="n">
        <x:f>ROUND(MAX('Premissas'!$B$5,MIN('Premissas'!$B$6,'Premissas'!$B$5+('Premissas'!$B$6-'Premissas'!$B$5)*(3*H185^2-2*H185^3)+I185*4*H185*(1-H185))),1)</x:f>
        <x:v>540.8</x:v>
      </x:c>
      <x:c r="M185" s="57" t="n">
        <x:f>ROUND(MIN('Premissas'!$B$6,L185+N185),1)</x:f>
        <x:v>622.4</x:v>
      </x:c>
      <x:c r="N185" s="57" t="n">
        <x:f>ROUND('Premissas'!$B$7*J185*SQRT(10/F185)*4*H185*(1-H185),1)</x:f>
        <x:v>81.6</x:v>
      </x:c>
      <x:c r="O185" s="56" t="str">
        <x:v>PROVISÓRIA</x:v>
      </x:c>
    </x:row>
    <x:row r="186">
      <x:c r="A186" s="66" t="str">
        <x:v>Escala comum 7º–9º</x:v>
      </x:c>
      <x:c r="B186" s="66" t="str">
        <x:v>7º ano</x:v>
      </x:c>
      <x:c r="C186" s="66" t="str">
        <x:v>MODELO_7_ANO</x:v>
      </x:c>
      <x:c r="D186" s="66" t="str">
        <x:v>MT</x:v>
      </x:c>
      <x:c r="E186" s="66" t="str">
        <x:v>Matemática</x:v>
      </x:c>
      <x:c r="F186" s="66" t="n">
        <x:v>10</x:v>
      </x:c>
      <x:c r="G186" s="66" t="n">
        <x:v>7</x:v>
      </x:c>
      <x:c r="H186" s="67" t="n">
        <x:f>G186/F186</x:f>
        <x:v>0.7</x:v>
      </x:c>
      <x:c r="I186" s="68" t="n">
        <x:f>'Premissas'!$B$13</x:f>
        <x:v>-50</x:v>
      </x:c>
      <x:c r="J186" s="68" t="n">
        <x:f>'Premissas'!$G$14</x:f>
        <x:v>1</x:v>
      </x:c>
      <x:c r="K186" s="69" t="n">
        <x:f>ROUND(MAX('Premissas'!$B$5,L186-N186),1)</x:f>
        <x:v>557</x:v>
      </x:c>
      <x:c r="L186" s="69" t="n">
        <x:f>ROUND(MAX('Premissas'!$B$5,MIN('Premissas'!$B$6,'Premissas'!$B$5+('Premissas'!$B$6-'Premissas'!$B$5)*(3*H186^2-2*H186^3)+I186*4*H186*(1-H186))),1)</x:f>
        <x:v>628.4</x:v>
      </x:c>
      <x:c r="M186" s="69" t="n">
        <x:f>ROUND(MIN('Premissas'!$B$6,L186+N186),1)</x:f>
        <x:v>699.8</x:v>
      </x:c>
      <x:c r="N186" s="69" t="n">
        <x:f>ROUND('Premissas'!$B$7*J186*SQRT(10/F186)*4*H186*(1-H186),1)</x:f>
        <x:v>71.4</x:v>
      </x:c>
      <x:c r="O186" s="66" t="str">
        <x:v>PROVISÓRIA</x:v>
      </x:c>
    </x:row>
    <x:row r="187">
      <x:c r="A187" s="56" t="str">
        <x:v>Escala comum 7º–9º</x:v>
      </x:c>
      <x:c r="B187" s="56" t="str">
        <x:v>7º ano</x:v>
      </x:c>
      <x:c r="C187" s="56" t="str">
        <x:v>MODELO_7_ANO</x:v>
      </x:c>
      <x:c r="D187" s="56" t="str">
        <x:v>MT</x:v>
      </x:c>
      <x:c r="E187" s="56" t="str">
        <x:v>Matemática</x:v>
      </x:c>
      <x:c r="F187" s="56" t="n">
        <x:v>10</x:v>
      </x:c>
      <x:c r="G187" s="56" t="n">
        <x:v>8</x:v>
      </x:c>
      <x:c r="H187" s="70" t="n">
        <x:f>G187/F187</x:f>
        <x:v>0.8</x:v>
      </x:c>
      <x:c r="I187" s="59" t="n">
        <x:f>'Premissas'!$B$13</x:f>
        <x:v>-50</x:v>
      </x:c>
      <x:c r="J187" s="59" t="n">
        <x:f>'Premissas'!$G$14</x:f>
        <x:v>1</x:v>
      </x:c>
      <x:c r="K187" s="57" t="n">
        <x:f>ROUND(MAX('Premissas'!$B$5,L187-N187),1)</x:f>
        <x:v>651.2</x:v>
      </x:c>
      <x:c r="L187" s="57" t="n">
        <x:f>ROUND(MAX('Premissas'!$B$5,MIN('Premissas'!$B$6,'Premissas'!$B$5+('Premissas'!$B$6-'Premissas'!$B$5)*(3*H187^2-2*H187^3)+I187*4*H187*(1-H187))),1)</x:f>
        <x:v>705.6</x:v>
      </x:c>
      <x:c r="M187" s="57" t="n">
        <x:f>ROUND(MIN('Premissas'!$B$6,L187+N187),1)</x:f>
        <x:v>760</x:v>
      </x:c>
      <x:c r="N187" s="57" t="n">
        <x:f>ROUND('Premissas'!$B$7*J187*SQRT(10/F187)*4*H187*(1-H187),1)</x:f>
        <x:v>54.4</x:v>
      </x:c>
      <x:c r="O187" s="56" t="str">
        <x:v>PROVISÓRIA</x:v>
      </x:c>
    </x:row>
    <x:row r="188">
      <x:c r="A188" s="66" t="str">
        <x:v>Escala comum 7º–9º</x:v>
      </x:c>
      <x:c r="B188" s="66" t="str">
        <x:v>7º ano</x:v>
      </x:c>
      <x:c r="C188" s="66" t="str">
        <x:v>MODELO_7_ANO</x:v>
      </x:c>
      <x:c r="D188" s="66" t="str">
        <x:v>MT</x:v>
      </x:c>
      <x:c r="E188" s="66" t="str">
        <x:v>Matemática</x:v>
      </x:c>
      <x:c r="F188" s="66" t="n">
        <x:v>10</x:v>
      </x:c>
      <x:c r="G188" s="66" t="n">
        <x:v>9</x:v>
      </x:c>
      <x:c r="H188" s="67" t="n">
        <x:f>G188/F188</x:f>
        <x:v>0.9</x:v>
      </x:c>
      <x:c r="I188" s="68" t="n">
        <x:f>'Premissas'!$B$13</x:f>
        <x:v>-50</x:v>
      </x:c>
      <x:c r="J188" s="68" t="n">
        <x:f>'Premissas'!$G$14</x:f>
        <x:v>1</x:v>
      </x:c>
      <x:c r="K188" s="69" t="n">
        <x:f>ROUND(MAX('Premissas'!$B$5,L188-N188),1)</x:f>
        <x:v>734.6</x:v>
      </x:c>
      <x:c r="L188" s="69" t="n">
        <x:f>ROUND(MAX('Premissas'!$B$5,MIN('Premissas'!$B$6,'Premissas'!$B$5+('Premissas'!$B$6-'Premissas'!$B$5)*(3*H188^2-2*H188^3)+I188*4*H188*(1-H188))),1)</x:f>
        <x:v>765.2</x:v>
      </x:c>
      <x:c r="M188" s="69" t="n">
        <x:f>ROUND(MIN('Premissas'!$B$6,L188+N188),1)</x:f>
        <x:v>795.8</x:v>
      </x:c>
      <x:c r="N188" s="69" t="n">
        <x:f>ROUND('Premissas'!$B$7*J188*SQRT(10/F188)*4*H188*(1-H188),1)</x:f>
        <x:v>30.6</x:v>
      </x:c>
      <x:c r="O188" s="66" t="str">
        <x:v>PROVISÓRIA</x:v>
      </x:c>
    </x:row>
    <x:row r="189">
      <x:c r="A189" s="56" t="str">
        <x:v>Escala comum 7º–9º</x:v>
      </x:c>
      <x:c r="B189" s="56" t="str">
        <x:v>7º ano</x:v>
      </x:c>
      <x:c r="C189" s="56" t="str">
        <x:v>MODELO_7_ANO</x:v>
      </x:c>
      <x:c r="D189" s="56" t="str">
        <x:v>MT</x:v>
      </x:c>
      <x:c r="E189" s="56" t="str">
        <x:v>Matemática</x:v>
      </x:c>
      <x:c r="F189" s="56" t="n">
        <x:v>10</x:v>
      </x:c>
      <x:c r="G189" s="56" t="n">
        <x:v>10</x:v>
      </x:c>
      <x:c r="H189" s="70" t="n">
        <x:f>G189/F189</x:f>
        <x:v>1</x:v>
      </x:c>
      <x:c r="I189" s="59" t="n">
        <x:f>'Premissas'!$B$13</x:f>
        <x:v>-50</x:v>
      </x:c>
      <x:c r="J189" s="59" t="n">
        <x:f>'Premissas'!$G$14</x:f>
        <x:v>1</x:v>
      </x:c>
      <x:c r="K189" s="57" t="n">
        <x:f>ROUND(MAX('Premissas'!$B$5,L189-N189),1)</x:f>
        <x:v>800</x:v>
      </x:c>
      <x:c r="L189" s="57" t="n">
        <x:f>ROUND(MAX('Premissas'!$B$5,MIN('Premissas'!$B$6,'Premissas'!$B$5+('Premissas'!$B$6-'Premissas'!$B$5)*(3*H189^2-2*H189^3)+I189*4*H189*(1-H189))),1)</x:f>
        <x:v>800</x:v>
      </x:c>
      <x:c r="M189" s="57" t="n">
        <x:f>ROUND(MIN('Premissas'!$B$6,L189+N189),1)</x:f>
        <x:v>800</x:v>
      </x:c>
      <x:c r="N189" s="57" t="n">
        <x:f>ROUND('Premissas'!$B$7*J189*SQRT(10/F189)*4*H189*(1-H189),1)</x:f>
        <x:v>0</x:v>
      </x:c>
      <x:c r="O189" s="56" t="str">
        <x:v>PROVISÓRIA</x:v>
      </x:c>
    </x:row>
    <x:row r="190">
      <x:c r="A190" s="66" t="str">
        <x:v>Escala comum 7º–9º</x:v>
      </x:c>
      <x:c r="B190" s="66" t="str">
        <x:v>7º ano</x:v>
      </x:c>
      <x:c r="C190" s="66" t="str">
        <x:v>MODELO_7_ANO</x:v>
      </x:c>
      <x:c r="D190" s="66" t="str">
        <x:v>CH</x:v>
      </x:c>
      <x:c r="E190" s="66" t="str">
        <x:v>Ciências Humanas</x:v>
      </x:c>
      <x:c r="F190" s="66" t="n">
        <x:v>15</x:v>
      </x:c>
      <x:c r="G190" s="66" t="n">
        <x:v>0</x:v>
      </x:c>
      <x:c r="H190" s="67" t="n">
        <x:f>G190/F190</x:f>
        <x:v>0</x:v>
      </x:c>
      <x:c r="I190" s="68" t="n">
        <x:f>'Premissas'!$B$13</x:f>
        <x:v>-50</x:v>
      </x:c>
      <x:c r="J190" s="68" t="n">
        <x:f>'Premissas'!$G$15</x:f>
        <x:v>1</x:v>
      </x:c>
      <x:c r="K190" s="69" t="n">
        <x:f>ROUND(MAX('Premissas'!$B$5,L190-N190),1)</x:f>
        <x:v>200</x:v>
      </x:c>
      <x:c r="L190" s="69" t="n">
        <x:f>ROUND(MAX('Premissas'!$B$5,MIN('Premissas'!$B$6,'Premissas'!$B$5+('Premissas'!$B$6-'Premissas'!$B$5)*(3*H190^2-2*H190^3)+I190*4*H190*(1-H190))),1)</x:f>
        <x:v>200</x:v>
      </x:c>
      <x:c r="M190" s="69" t="n">
        <x:f>ROUND(MIN('Premissas'!$B$6,L190+N190),1)</x:f>
        <x:v>200</x:v>
      </x:c>
      <x:c r="N190" s="69" t="n">
        <x:f>ROUND('Premissas'!$B$7*J190*SQRT(10/F190)*4*H190*(1-H190),1)</x:f>
        <x:v>0</x:v>
      </x:c>
      <x:c r="O190" s="66" t="str">
        <x:v>PROVISÓRIA</x:v>
      </x:c>
    </x:row>
    <x:row r="191">
      <x:c r="A191" s="56" t="str">
        <x:v>Escala comum 7º–9º</x:v>
      </x:c>
      <x:c r="B191" s="56" t="str">
        <x:v>7º ano</x:v>
      </x:c>
      <x:c r="C191" s="56" t="str">
        <x:v>MODELO_7_ANO</x:v>
      </x:c>
      <x:c r="D191" s="56" t="str">
        <x:v>CH</x:v>
      </x:c>
      <x:c r="E191" s="56" t="str">
        <x:v>Ciências Humanas</x:v>
      </x:c>
      <x:c r="F191" s="56" t="n">
        <x:v>15</x:v>
      </x:c>
      <x:c r="G191" s="56" t="n">
        <x:v>1</x:v>
      </x:c>
      <x:c r="H191" s="70" t="n">
        <x:f>G191/F191</x:f>
        <x:v>0.06666666666666667</x:v>
      </x:c>
      <x:c r="I191" s="59" t="n">
        <x:f>'Premissas'!$B$13</x:f>
        <x:v>-50</x:v>
      </x:c>
      <x:c r="J191" s="59" t="n">
        <x:f>'Premissas'!$G$15</x:f>
        <x:v>1</x:v>
      </x:c>
      <x:c r="K191" s="57" t="n">
        <x:f>ROUND(MAX('Premissas'!$B$5,L191-N191),1)</x:f>
        <x:v>200</x:v>
      </x:c>
      <x:c r="L191" s="57" t="n">
        <x:f>ROUND(MAX('Premissas'!$B$5,MIN('Premissas'!$B$6,'Premissas'!$B$5+('Premissas'!$B$6-'Premissas'!$B$5)*(3*H191^2-2*H191^3)+I191*4*H191*(1-H191))),1)</x:f>
        <x:v>200</x:v>
      </x:c>
      <x:c r="M191" s="57" t="n">
        <x:f>ROUND(MIN('Premissas'!$B$6,L191+N191),1)</x:f>
        <x:v>217.3</x:v>
      </x:c>
      <x:c r="N191" s="57" t="n">
        <x:f>ROUND('Premissas'!$B$7*J191*SQRT(10/F191)*4*H191*(1-H191),1)</x:f>
        <x:v>17.3</x:v>
      </x:c>
      <x:c r="O191" s="56" t="str">
        <x:v>PROVISÓRIA</x:v>
      </x:c>
    </x:row>
    <x:row r="192">
      <x:c r="A192" s="66" t="str">
        <x:v>Escala comum 7º–9º</x:v>
      </x:c>
      <x:c r="B192" s="66" t="str">
        <x:v>7º ano</x:v>
      </x:c>
      <x:c r="C192" s="66" t="str">
        <x:v>MODELO_7_ANO</x:v>
      </x:c>
      <x:c r="D192" s="66" t="str">
        <x:v>CH</x:v>
      </x:c>
      <x:c r="E192" s="66" t="str">
        <x:v>Ciências Humanas</x:v>
      </x:c>
      <x:c r="F192" s="66" t="n">
        <x:v>15</x:v>
      </x:c>
      <x:c r="G192" s="66" t="n">
        <x:v>2</x:v>
      </x:c>
      <x:c r="H192" s="67" t="n">
        <x:f>G192/F192</x:f>
        <x:v>0.13333333333333333</x:v>
      </x:c>
      <x:c r="I192" s="68" t="n">
        <x:f>'Premissas'!$B$13</x:f>
        <x:v>-50</x:v>
      </x:c>
      <x:c r="J192" s="68" t="n">
        <x:f>'Premissas'!$G$15</x:f>
        <x:v>1</x:v>
      </x:c>
      <x:c r="K192" s="69" t="n">
        <x:f>ROUND(MAX('Premissas'!$B$5,L192-N192),1)</x:f>
        <x:v>200</x:v>
      </x:c>
      <x:c r="L192" s="69" t="n">
        <x:f>ROUND(MAX('Premissas'!$B$5,MIN('Premissas'!$B$6,'Premissas'!$B$5+('Premissas'!$B$6-'Premissas'!$B$5)*(3*H192^2-2*H192^3)+I192*4*H192*(1-H192))),1)</x:f>
        <x:v>206</x:v>
      </x:c>
      <x:c r="M192" s="69" t="n">
        <x:f>ROUND(MIN('Premissas'!$B$6,L192+N192),1)</x:f>
        <x:v>238.1</x:v>
      </x:c>
      <x:c r="N192" s="69" t="n">
        <x:f>ROUND('Premissas'!$B$7*J192*SQRT(10/F192)*4*H192*(1-H192),1)</x:f>
        <x:v>32.1</x:v>
      </x:c>
      <x:c r="O192" s="66" t="str">
        <x:v>PROVISÓRIA</x:v>
      </x:c>
    </x:row>
    <x:row r="193">
      <x:c r="A193" s="56" t="str">
        <x:v>Escala comum 7º–9º</x:v>
      </x:c>
      <x:c r="B193" s="56" t="str">
        <x:v>7º ano</x:v>
      </x:c>
      <x:c r="C193" s="56" t="str">
        <x:v>MODELO_7_ANO</x:v>
      </x:c>
      <x:c r="D193" s="56" t="str">
        <x:v>CH</x:v>
      </x:c>
      <x:c r="E193" s="56" t="str">
        <x:v>Ciências Humanas</x:v>
      </x:c>
      <x:c r="F193" s="56" t="n">
        <x:v>15</x:v>
      </x:c>
      <x:c r="G193" s="56" t="n">
        <x:v>3</x:v>
      </x:c>
      <x:c r="H193" s="70" t="n">
        <x:f>G193/F193</x:f>
        <x:v>0.2</x:v>
      </x:c>
      <x:c r="I193" s="59" t="n">
        <x:f>'Premissas'!$B$13</x:f>
        <x:v>-50</x:v>
      </x:c>
      <x:c r="J193" s="59" t="n">
        <x:f>'Premissas'!$G$15</x:f>
        <x:v>1</x:v>
      </x:c>
      <x:c r="K193" s="57" t="n">
        <x:f>ROUND(MAX('Premissas'!$B$5,L193-N193),1)</x:f>
        <x:v>200</x:v>
      </x:c>
      <x:c r="L193" s="57" t="n">
        <x:f>ROUND(MAX('Premissas'!$B$5,MIN('Premissas'!$B$6,'Premissas'!$B$5+('Premissas'!$B$6-'Premissas'!$B$5)*(3*H193^2-2*H193^3)+I193*4*H193*(1-H193))),1)</x:f>
        <x:v>230.4</x:v>
      </x:c>
      <x:c r="M193" s="57" t="n">
        <x:f>ROUND(MIN('Premissas'!$B$6,L193+N193),1)</x:f>
        <x:v>274.8</x:v>
      </x:c>
      <x:c r="N193" s="57" t="n">
        <x:f>ROUND('Premissas'!$B$7*J193*SQRT(10/F193)*4*H193*(1-H193),1)</x:f>
        <x:v>44.4</x:v>
      </x:c>
      <x:c r="O193" s="56" t="str">
        <x:v>PROVISÓRIA</x:v>
      </x:c>
    </x:row>
    <x:row r="194">
      <x:c r="A194" s="66" t="str">
        <x:v>Escala comum 7º–9º</x:v>
      </x:c>
      <x:c r="B194" s="66" t="str">
        <x:v>7º ano</x:v>
      </x:c>
      <x:c r="C194" s="66" t="str">
        <x:v>MODELO_7_ANO</x:v>
      </x:c>
      <x:c r="D194" s="66" t="str">
        <x:v>CH</x:v>
      </x:c>
      <x:c r="E194" s="66" t="str">
        <x:v>Ciências Humanas</x:v>
      </x:c>
      <x:c r="F194" s="66" t="n">
        <x:v>15</x:v>
      </x:c>
      <x:c r="G194" s="66" t="n">
        <x:v>4</x:v>
      </x:c>
      <x:c r="H194" s="67" t="n">
        <x:f>G194/F194</x:f>
        <x:v>0.26666666666666666</x:v>
      </x:c>
      <x:c r="I194" s="68" t="n">
        <x:f>'Premissas'!$B$13</x:f>
        <x:v>-50</x:v>
      </x:c>
      <x:c r="J194" s="68" t="n">
        <x:f>'Premissas'!$G$15</x:f>
        <x:v>1</x:v>
      </x:c>
      <x:c r="K194" s="69" t="n">
        <x:f>ROUND(MAX('Premissas'!$B$5,L194-N194),1)</x:f>
        <x:v>211.8</x:v>
      </x:c>
      <x:c r="L194" s="69" t="n">
        <x:f>ROUND(MAX('Premissas'!$B$5,MIN('Premissas'!$B$6,'Premissas'!$B$5+('Premissas'!$B$6-'Premissas'!$B$5)*(3*H194^2-2*H194^3)+I194*4*H194*(1-H194))),1)</x:f>
        <x:v>266.1</x:v>
      </x:c>
      <x:c r="M194" s="69" t="n">
        <x:f>ROUND(MIN('Premissas'!$B$6,L194+N194),1)</x:f>
        <x:v>320.4</x:v>
      </x:c>
      <x:c r="N194" s="69" t="n">
        <x:f>ROUND('Premissas'!$B$7*J194*SQRT(10/F194)*4*H194*(1-H194),1)</x:f>
        <x:v>54.3</x:v>
      </x:c>
      <x:c r="O194" s="66" t="str">
        <x:v>PROVISÓRIA</x:v>
      </x:c>
    </x:row>
    <x:row r="195">
      <x:c r="A195" s="56" t="str">
        <x:v>Escala comum 7º–9º</x:v>
      </x:c>
      <x:c r="B195" s="56" t="str">
        <x:v>7º ano</x:v>
      </x:c>
      <x:c r="C195" s="56" t="str">
        <x:v>MODELO_7_ANO</x:v>
      </x:c>
      <x:c r="D195" s="56" t="str">
        <x:v>CH</x:v>
      </x:c>
      <x:c r="E195" s="56" t="str">
        <x:v>Ciências Humanas</x:v>
      </x:c>
      <x:c r="F195" s="56" t="n">
        <x:v>15</x:v>
      </x:c>
      <x:c r="G195" s="56" t="n">
        <x:v>5</x:v>
      </x:c>
      <x:c r="H195" s="70" t="n">
        <x:f>G195/F195</x:f>
        <x:v>0.3333333333333333</x:v>
      </x:c>
      <x:c r="I195" s="59" t="n">
        <x:f>'Premissas'!$B$13</x:f>
        <x:v>-50</x:v>
      </x:c>
      <x:c r="J195" s="59" t="n">
        <x:f>'Premissas'!$G$15</x:f>
        <x:v>1</x:v>
      </x:c>
      <x:c r="K195" s="57" t="n">
        <x:f>ROUND(MAX('Premissas'!$B$5,L195-N195),1)</x:f>
        <x:v>249.4</x:v>
      </x:c>
      <x:c r="L195" s="57" t="n">
        <x:f>ROUND(MAX('Premissas'!$B$5,MIN('Premissas'!$B$6,'Premissas'!$B$5+('Premissas'!$B$6-'Premissas'!$B$5)*(3*H195^2-2*H195^3)+I195*4*H195*(1-H195))),1)</x:f>
        <x:v>311.1</x:v>
      </x:c>
      <x:c r="M195" s="57" t="n">
        <x:f>ROUND(MIN('Premissas'!$B$6,L195+N195),1)</x:f>
        <x:v>372.8</x:v>
      </x:c>
      <x:c r="N195" s="57" t="n">
        <x:f>ROUND('Premissas'!$B$7*J195*SQRT(10/F195)*4*H195*(1-H195),1)</x:f>
        <x:v>61.7</x:v>
      </x:c>
      <x:c r="O195" s="56" t="str">
        <x:v>PROVISÓRIA</x:v>
      </x:c>
    </x:row>
    <x:row r="196">
      <x:c r="A196" s="66" t="str">
        <x:v>Escala comum 7º–9º</x:v>
      </x:c>
      <x:c r="B196" s="66" t="str">
        <x:v>7º ano</x:v>
      </x:c>
      <x:c r="C196" s="66" t="str">
        <x:v>MODELO_7_ANO</x:v>
      </x:c>
      <x:c r="D196" s="66" t="str">
        <x:v>CH</x:v>
      </x:c>
      <x:c r="E196" s="66" t="str">
        <x:v>Ciências Humanas</x:v>
      </x:c>
      <x:c r="F196" s="66" t="n">
        <x:v>15</x:v>
      </x:c>
      <x:c r="G196" s="66" t="n">
        <x:v>6</x:v>
      </x:c>
      <x:c r="H196" s="67" t="n">
        <x:f>G196/F196</x:f>
        <x:v>0.4</x:v>
      </x:c>
      <x:c r="I196" s="68" t="n">
        <x:f>'Premissas'!$B$13</x:f>
        <x:v>-50</x:v>
      </x:c>
      <x:c r="J196" s="68" t="n">
        <x:f>'Premissas'!$G$15</x:f>
        <x:v>1</x:v>
      </x:c>
      <x:c r="K196" s="69" t="n">
        <x:f>ROUND(MAX('Premissas'!$B$5,L196-N196),1)</x:f>
        <x:v>296.6</x:v>
      </x:c>
      <x:c r="L196" s="69" t="n">
        <x:f>ROUND(MAX('Premissas'!$B$5,MIN('Premissas'!$B$6,'Premissas'!$B$5+('Premissas'!$B$6-'Premissas'!$B$5)*(3*H196^2-2*H196^3)+I196*4*H196*(1-H196))),1)</x:f>
        <x:v>363.2</x:v>
      </x:c>
      <x:c r="M196" s="69" t="n">
        <x:f>ROUND(MIN('Premissas'!$B$6,L196+N196),1)</x:f>
        <x:v>429.8</x:v>
      </x:c>
      <x:c r="N196" s="69" t="n">
        <x:f>ROUND('Premissas'!$B$7*J196*SQRT(10/F196)*4*H196*(1-H196),1)</x:f>
        <x:v>66.6</x:v>
      </x:c>
      <x:c r="O196" s="66" t="str">
        <x:v>PROVISÓRIA</x:v>
      </x:c>
    </x:row>
    <x:row r="197">
      <x:c r="A197" s="56" t="str">
        <x:v>Escala comum 7º–9º</x:v>
      </x:c>
      <x:c r="B197" s="56" t="str">
        <x:v>7º ano</x:v>
      </x:c>
      <x:c r="C197" s="56" t="str">
        <x:v>MODELO_7_ANO</x:v>
      </x:c>
      <x:c r="D197" s="56" t="str">
        <x:v>CH</x:v>
      </x:c>
      <x:c r="E197" s="56" t="str">
        <x:v>Ciências Humanas</x:v>
      </x:c>
      <x:c r="F197" s="56" t="n">
        <x:v>15</x:v>
      </x:c>
      <x:c r="G197" s="56" t="n">
        <x:v>7</x:v>
      </x:c>
      <x:c r="H197" s="70" t="n">
        <x:f>G197/F197</x:f>
        <x:v>0.4666666666666667</x:v>
      </x:c>
      <x:c r="I197" s="59" t="n">
        <x:f>'Premissas'!$B$13</x:f>
        <x:v>-50</x:v>
      </x:c>
      <x:c r="J197" s="59" t="n">
        <x:f>'Premissas'!$G$15</x:f>
        <x:v>1</x:v>
      </x:c>
      <x:c r="K197" s="57" t="n">
        <x:f>ROUND(MAX('Premissas'!$B$5,L197-N197),1)</x:f>
        <x:v>351.2</x:v>
      </x:c>
      <x:c r="L197" s="57" t="n">
        <x:f>ROUND(MAX('Premissas'!$B$5,MIN('Premissas'!$B$6,'Premissas'!$B$5+('Premissas'!$B$6-'Premissas'!$B$5)*(3*H197^2-2*H197^3)+I197*4*H197*(1-H197))),1)</x:f>
        <x:v>420.3</x:v>
      </x:c>
      <x:c r="M197" s="57" t="n">
        <x:f>ROUND(MIN('Premissas'!$B$6,L197+N197),1)</x:f>
        <x:v>489.4</x:v>
      </x:c>
      <x:c r="N197" s="57" t="n">
        <x:f>ROUND('Premissas'!$B$7*J197*SQRT(10/F197)*4*H197*(1-H197),1)</x:f>
        <x:v>69.1</x:v>
      </x:c>
      <x:c r="O197" s="56" t="str">
        <x:v>PROVISÓRIA</x:v>
      </x:c>
    </x:row>
    <x:row r="198">
      <x:c r="A198" s="66" t="str">
        <x:v>Escala comum 7º–9º</x:v>
      </x:c>
      <x:c r="B198" s="66" t="str">
        <x:v>7º ano</x:v>
      </x:c>
      <x:c r="C198" s="66" t="str">
        <x:v>MODELO_7_ANO</x:v>
      </x:c>
      <x:c r="D198" s="66" t="str">
        <x:v>CH</x:v>
      </x:c>
      <x:c r="E198" s="66" t="str">
        <x:v>Ciências Humanas</x:v>
      </x:c>
      <x:c r="F198" s="66" t="n">
        <x:v>15</x:v>
      </x:c>
      <x:c r="G198" s="66" t="n">
        <x:v>8</x:v>
      </x:c>
      <x:c r="H198" s="67" t="n">
        <x:f>G198/F198</x:f>
        <x:v>0.5333333333333333</x:v>
      </x:c>
      <x:c r="I198" s="68" t="n">
        <x:f>'Premissas'!$B$13</x:f>
        <x:v>-50</x:v>
      </x:c>
      <x:c r="J198" s="68" t="n">
        <x:f>'Premissas'!$G$15</x:f>
        <x:v>1</x:v>
      </x:c>
      <x:c r="K198" s="69" t="n">
        <x:f>ROUND(MAX('Premissas'!$B$5,L198-N198),1)</x:f>
        <x:v>411.1</x:v>
      </x:c>
      <x:c r="L198" s="69" t="n">
        <x:f>ROUND(MAX('Premissas'!$B$5,MIN('Premissas'!$B$6,'Premissas'!$B$5+('Premissas'!$B$6-'Premissas'!$B$5)*(3*H198^2-2*H198^3)+I198*4*H198*(1-H198))),1)</x:f>
        <x:v>480.2</x:v>
      </x:c>
      <x:c r="M198" s="69" t="n">
        <x:f>ROUND(MIN('Premissas'!$B$6,L198+N198),1)</x:f>
        <x:v>549.3</x:v>
      </x:c>
      <x:c r="N198" s="69" t="n">
        <x:f>ROUND('Premissas'!$B$7*J198*SQRT(10/F198)*4*H198*(1-H198),1)</x:f>
        <x:v>69.1</x:v>
      </x:c>
      <x:c r="O198" s="66" t="str">
        <x:v>PROVISÓRIA</x:v>
      </x:c>
    </x:row>
    <x:row r="199">
      <x:c r="A199" s="56" t="str">
        <x:v>Escala comum 7º–9º</x:v>
      </x:c>
      <x:c r="B199" s="56" t="str">
        <x:v>7º ano</x:v>
      </x:c>
      <x:c r="C199" s="56" t="str">
        <x:v>MODELO_7_ANO</x:v>
      </x:c>
      <x:c r="D199" s="56" t="str">
        <x:v>CH</x:v>
      </x:c>
      <x:c r="E199" s="56" t="str">
        <x:v>Ciências Humanas</x:v>
      </x:c>
      <x:c r="F199" s="56" t="n">
        <x:v>15</x:v>
      </x:c>
      <x:c r="G199" s="56" t="n">
        <x:v>9</x:v>
      </x:c>
      <x:c r="H199" s="70" t="n">
        <x:f>G199/F199</x:f>
        <x:v>0.6</x:v>
      </x:c>
      <x:c r="I199" s="59" t="n">
        <x:f>'Premissas'!$B$13</x:f>
        <x:v>-50</x:v>
      </x:c>
      <x:c r="J199" s="59" t="n">
        <x:f>'Premissas'!$G$15</x:f>
        <x:v>1</x:v>
      </x:c>
      <x:c r="K199" s="57" t="n">
        <x:f>ROUND(MAX('Premissas'!$B$5,L199-N199),1)</x:f>
        <x:v>474.2</x:v>
      </x:c>
      <x:c r="L199" s="57" t="n">
        <x:f>ROUND(MAX('Premissas'!$B$5,MIN('Premissas'!$B$6,'Premissas'!$B$5+('Premissas'!$B$6-'Premissas'!$B$5)*(3*H199^2-2*H199^3)+I199*4*H199*(1-H199))),1)</x:f>
        <x:v>540.8</x:v>
      </x:c>
      <x:c r="M199" s="57" t="n">
        <x:f>ROUND(MIN('Premissas'!$B$6,L199+N199),1)</x:f>
        <x:v>607.4</x:v>
      </x:c>
      <x:c r="N199" s="57" t="n">
        <x:f>ROUND('Premissas'!$B$7*J199*SQRT(10/F199)*4*H199*(1-H199),1)</x:f>
        <x:v>66.6</x:v>
      </x:c>
      <x:c r="O199" s="56" t="str">
        <x:v>PROVISÓRIA</x:v>
      </x:c>
    </x:row>
    <x:row r="200">
      <x:c r="A200" s="66" t="str">
        <x:v>Escala comum 7º–9º</x:v>
      </x:c>
      <x:c r="B200" s="66" t="str">
        <x:v>7º ano</x:v>
      </x:c>
      <x:c r="C200" s="66" t="str">
        <x:v>MODELO_7_ANO</x:v>
      </x:c>
      <x:c r="D200" s="66" t="str">
        <x:v>CH</x:v>
      </x:c>
      <x:c r="E200" s="66" t="str">
        <x:v>Ciências Humanas</x:v>
      </x:c>
      <x:c r="F200" s="66" t="n">
        <x:v>15</x:v>
      </x:c>
      <x:c r="G200" s="66" t="n">
        <x:v>10</x:v>
      </x:c>
      <x:c r="H200" s="67" t="n">
        <x:f>G200/F200</x:f>
        <x:v>0.6666666666666666</x:v>
      </x:c>
      <x:c r="I200" s="68" t="n">
        <x:f>'Premissas'!$B$13</x:f>
        <x:v>-50</x:v>
      </x:c>
      <x:c r="J200" s="68" t="n">
        <x:f>'Premissas'!$G$15</x:f>
        <x:v>1</x:v>
      </x:c>
      <x:c r="K200" s="69" t="n">
        <x:f>ROUND(MAX('Premissas'!$B$5,L200-N200),1)</x:f>
        <x:v>538.3</x:v>
      </x:c>
      <x:c r="L200" s="69" t="n">
        <x:f>ROUND(MAX('Premissas'!$B$5,MIN('Premissas'!$B$6,'Premissas'!$B$5+('Premissas'!$B$6-'Premissas'!$B$5)*(3*H200^2-2*H200^3)+I200*4*H200*(1-H200))),1)</x:f>
        <x:v>600</x:v>
      </x:c>
      <x:c r="M200" s="69" t="n">
        <x:f>ROUND(MIN('Premissas'!$B$6,L200+N200),1)</x:f>
        <x:v>661.7</x:v>
      </x:c>
      <x:c r="N200" s="69" t="n">
        <x:f>ROUND('Premissas'!$B$7*J200*SQRT(10/F200)*4*H200*(1-H200),1)</x:f>
        <x:v>61.7</x:v>
      </x:c>
      <x:c r="O200" s="66" t="str">
        <x:v>PROVISÓRIA</x:v>
      </x:c>
    </x:row>
    <x:row r="201">
      <x:c r="A201" s="56" t="str">
        <x:v>Escala comum 7º–9º</x:v>
      </x:c>
      <x:c r="B201" s="56" t="str">
        <x:v>7º ano</x:v>
      </x:c>
      <x:c r="C201" s="56" t="str">
        <x:v>MODELO_7_ANO</x:v>
      </x:c>
      <x:c r="D201" s="56" t="str">
        <x:v>CH</x:v>
      </x:c>
      <x:c r="E201" s="56" t="str">
        <x:v>Ciências Humanas</x:v>
      </x:c>
      <x:c r="F201" s="56" t="n">
        <x:v>15</x:v>
      </x:c>
      <x:c r="G201" s="56" t="n">
        <x:v>11</x:v>
      </x:c>
      <x:c r="H201" s="70" t="n">
        <x:f>G201/F201</x:f>
        <x:v>0.7333333333333333</x:v>
      </x:c>
      <x:c r="I201" s="59" t="n">
        <x:f>'Premissas'!$B$13</x:f>
        <x:v>-50</x:v>
      </x:c>
      <x:c r="J201" s="59" t="n">
        <x:f>'Premissas'!$G$15</x:f>
        <x:v>1</x:v>
      </x:c>
      <x:c r="K201" s="57" t="n">
        <x:f>ROUND(MAX('Premissas'!$B$5,L201-N201),1)</x:f>
        <x:v>601.3</x:v>
      </x:c>
      <x:c r="L201" s="57" t="n">
        <x:f>ROUND(MAX('Premissas'!$B$5,MIN('Premissas'!$B$6,'Premissas'!$B$5+('Premissas'!$B$6-'Premissas'!$B$5)*(3*H201^2-2*H201^3)+I201*4*H201*(1-H201))),1)</x:f>
        <x:v>655.6</x:v>
      </x:c>
      <x:c r="M201" s="57" t="n">
        <x:f>ROUND(MIN('Premissas'!$B$6,L201+N201),1)</x:f>
        <x:v>709.9</x:v>
      </x:c>
      <x:c r="N201" s="57" t="n">
        <x:f>ROUND('Premissas'!$B$7*J201*SQRT(10/F201)*4*H201*(1-H201),1)</x:f>
        <x:v>54.3</x:v>
      </x:c>
      <x:c r="O201" s="56" t="str">
        <x:v>PROVISÓRIA</x:v>
      </x:c>
    </x:row>
    <x:row r="202">
      <x:c r="A202" s="66" t="str">
        <x:v>Escala comum 7º–9º</x:v>
      </x:c>
      <x:c r="B202" s="66" t="str">
        <x:v>7º ano</x:v>
      </x:c>
      <x:c r="C202" s="66" t="str">
        <x:v>MODELO_7_ANO</x:v>
      </x:c>
      <x:c r="D202" s="66" t="str">
        <x:v>CH</x:v>
      </x:c>
      <x:c r="E202" s="66" t="str">
        <x:v>Ciências Humanas</x:v>
      </x:c>
      <x:c r="F202" s="66" t="n">
        <x:v>15</x:v>
      </x:c>
      <x:c r="G202" s="66" t="n">
        <x:v>12</x:v>
      </x:c>
      <x:c r="H202" s="67" t="n">
        <x:f>G202/F202</x:f>
        <x:v>0.8</x:v>
      </x:c>
      <x:c r="I202" s="68" t="n">
        <x:f>'Premissas'!$B$13</x:f>
        <x:v>-50</x:v>
      </x:c>
      <x:c r="J202" s="68" t="n">
        <x:f>'Premissas'!$G$15</x:f>
        <x:v>1</x:v>
      </x:c>
      <x:c r="K202" s="69" t="n">
        <x:f>ROUND(MAX('Premissas'!$B$5,L202-N202),1)</x:f>
        <x:v>661.2</x:v>
      </x:c>
      <x:c r="L202" s="69" t="n">
        <x:f>ROUND(MAX('Premissas'!$B$5,MIN('Premissas'!$B$6,'Premissas'!$B$5+('Premissas'!$B$6-'Premissas'!$B$5)*(3*H202^2-2*H202^3)+I202*4*H202*(1-H202))),1)</x:f>
        <x:v>705.6</x:v>
      </x:c>
      <x:c r="M202" s="69" t="n">
        <x:f>ROUND(MIN('Premissas'!$B$6,L202+N202),1)</x:f>
        <x:v>750</x:v>
      </x:c>
      <x:c r="N202" s="69" t="n">
        <x:f>ROUND('Premissas'!$B$7*J202*SQRT(10/F202)*4*H202*(1-H202),1)</x:f>
        <x:v>44.4</x:v>
      </x:c>
      <x:c r="O202" s="66" t="str">
        <x:v>PROVISÓRIA</x:v>
      </x:c>
    </x:row>
    <x:row r="203">
      <x:c r="A203" s="56" t="str">
        <x:v>Escala comum 7º–9º</x:v>
      </x:c>
      <x:c r="B203" s="56" t="str">
        <x:v>7º ano</x:v>
      </x:c>
      <x:c r="C203" s="56" t="str">
        <x:v>MODELO_7_ANO</x:v>
      </x:c>
      <x:c r="D203" s="56" t="str">
        <x:v>CH</x:v>
      </x:c>
      <x:c r="E203" s="56" t="str">
        <x:v>Ciências Humanas</x:v>
      </x:c>
      <x:c r="F203" s="56" t="n">
        <x:v>15</x:v>
      </x:c>
      <x:c r="G203" s="56" t="n">
        <x:v>13</x:v>
      </x:c>
      <x:c r="H203" s="70" t="n">
        <x:f>G203/F203</x:f>
        <x:v>0.8666666666666667</x:v>
      </x:c>
      <x:c r="I203" s="59" t="n">
        <x:f>'Premissas'!$B$13</x:f>
        <x:v>-50</x:v>
      </x:c>
      <x:c r="J203" s="59" t="n">
        <x:f>'Premissas'!$G$15</x:f>
        <x:v>1</x:v>
      </x:c>
      <x:c r="K203" s="57" t="n">
        <x:f>ROUND(MAX('Premissas'!$B$5,L203-N203),1)</x:f>
        <x:v>715.6</x:v>
      </x:c>
      <x:c r="L203" s="57" t="n">
        <x:f>ROUND(MAX('Premissas'!$B$5,MIN('Premissas'!$B$6,'Premissas'!$B$5+('Premissas'!$B$6-'Premissas'!$B$5)*(3*H203^2-2*H203^3)+I203*4*H203*(1-H203))),1)</x:f>
        <x:v>747.7</x:v>
      </x:c>
      <x:c r="M203" s="57" t="n">
        <x:f>ROUND(MIN('Premissas'!$B$6,L203+N203),1)</x:f>
        <x:v>779.8</x:v>
      </x:c>
      <x:c r="N203" s="57" t="n">
        <x:f>ROUND('Premissas'!$B$7*J203*SQRT(10/F203)*4*H203*(1-H203),1)</x:f>
        <x:v>32.1</x:v>
      </x:c>
      <x:c r="O203" s="56" t="str">
        <x:v>PROVISÓRIA</x:v>
      </x:c>
    </x:row>
    <x:row r="204">
      <x:c r="A204" s="66" t="str">
        <x:v>Escala comum 7º–9º</x:v>
      </x:c>
      <x:c r="B204" s="66" t="str">
        <x:v>7º ano</x:v>
      </x:c>
      <x:c r="C204" s="66" t="str">
        <x:v>MODELO_7_ANO</x:v>
      </x:c>
      <x:c r="D204" s="66" t="str">
        <x:v>CH</x:v>
      </x:c>
      <x:c r="E204" s="66" t="str">
        <x:v>Ciências Humanas</x:v>
      </x:c>
      <x:c r="F204" s="66" t="n">
        <x:v>15</x:v>
      </x:c>
      <x:c r="G204" s="66" t="n">
        <x:v>14</x:v>
      </x:c>
      <x:c r="H204" s="67" t="n">
        <x:f>G204/F204</x:f>
        <x:v>0.9333333333333333</x:v>
      </x:c>
      <x:c r="I204" s="68" t="n">
        <x:f>'Premissas'!$B$13</x:f>
        <x:v>-50</x:v>
      </x:c>
      <x:c r="J204" s="68" t="n">
        <x:f>'Premissas'!$G$15</x:f>
        <x:v>1</x:v>
      </x:c>
      <x:c r="K204" s="69" t="n">
        <x:f>ROUND(MAX('Premissas'!$B$5,L204-N204),1)</x:f>
        <x:v>762.6</x:v>
      </x:c>
      <x:c r="L204" s="69" t="n">
        <x:f>ROUND(MAX('Premissas'!$B$5,MIN('Premissas'!$B$6,'Premissas'!$B$5+('Premissas'!$B$6-'Premissas'!$B$5)*(3*H204^2-2*H204^3)+I204*4*H204*(1-H204))),1)</x:f>
        <x:v>779.9</x:v>
      </x:c>
      <x:c r="M204" s="69" t="n">
        <x:f>ROUND(MIN('Premissas'!$B$6,L204+N204),1)</x:f>
        <x:v>797.2</x:v>
      </x:c>
      <x:c r="N204" s="69" t="n">
        <x:f>ROUND('Premissas'!$B$7*J204*SQRT(10/F204)*4*H204*(1-H204),1)</x:f>
        <x:v>17.3</x:v>
      </x:c>
      <x:c r="O204" s="66" t="str">
        <x:v>PROVISÓRIA</x:v>
      </x:c>
    </x:row>
    <x:row r="205">
      <x:c r="A205" s="56" t="str">
        <x:v>Escala comum 7º–9º</x:v>
      </x:c>
      <x:c r="B205" s="56" t="str">
        <x:v>7º ano</x:v>
      </x:c>
      <x:c r="C205" s="56" t="str">
        <x:v>MODELO_7_ANO</x:v>
      </x:c>
      <x:c r="D205" s="56" t="str">
        <x:v>CH</x:v>
      </x:c>
      <x:c r="E205" s="56" t="str">
        <x:v>Ciências Humanas</x:v>
      </x:c>
      <x:c r="F205" s="56" t="n">
        <x:v>15</x:v>
      </x:c>
      <x:c r="G205" s="56" t="n">
        <x:v>15</x:v>
      </x:c>
      <x:c r="H205" s="70" t="n">
        <x:f>G205/F205</x:f>
        <x:v>1</x:v>
      </x:c>
      <x:c r="I205" s="59" t="n">
        <x:f>'Premissas'!$B$13</x:f>
        <x:v>-50</x:v>
      </x:c>
      <x:c r="J205" s="59" t="n">
        <x:f>'Premissas'!$G$15</x:f>
        <x:v>1</x:v>
      </x:c>
      <x:c r="K205" s="57" t="n">
        <x:f>ROUND(MAX('Premissas'!$B$5,L205-N205),1)</x:f>
        <x:v>800</x:v>
      </x:c>
      <x:c r="L205" s="57" t="n">
        <x:f>ROUND(MAX('Premissas'!$B$5,MIN('Premissas'!$B$6,'Premissas'!$B$5+('Premissas'!$B$6-'Premissas'!$B$5)*(3*H205^2-2*H205^3)+I205*4*H205*(1-H205))),1)</x:f>
        <x:v>800</x:v>
      </x:c>
      <x:c r="M205" s="57" t="n">
        <x:f>ROUND(MIN('Premissas'!$B$6,L205+N205),1)</x:f>
        <x:v>800</x:v>
      </x:c>
      <x:c r="N205" s="57" t="n">
        <x:f>ROUND('Premissas'!$B$7*J205*SQRT(10/F205)*4*H205*(1-H205),1)</x:f>
        <x:v>0</x:v>
      </x:c>
      <x:c r="O205" s="56" t="str">
        <x:v>PROVISÓRIA</x:v>
      </x:c>
    </x:row>
    <x:row r="206">
      <x:c r="A206" s="66" t="str">
        <x:v>Escala comum 7º–9º</x:v>
      </x:c>
      <x:c r="B206" s="66" t="str">
        <x:v>7º ano</x:v>
      </x:c>
      <x:c r="C206" s="66" t="str">
        <x:v>MODELO_7_ANO</x:v>
      </x:c>
      <x:c r="D206" s="66" t="str">
        <x:v>CN</x:v>
      </x:c>
      <x:c r="E206" s="66" t="str">
        <x:v>Ciências da Natureza</x:v>
      </x:c>
      <x:c r="F206" s="66" t="n">
        <x:v>5</x:v>
      </x:c>
      <x:c r="G206" s="66" t="n">
        <x:v>0</x:v>
      </x:c>
      <x:c r="H206" s="67" t="n">
        <x:f>G206/F206</x:f>
        <x:v>0</x:v>
      </x:c>
      <x:c r="I206" s="68" t="n">
        <x:f>'Premissas'!$B$13</x:f>
        <x:v>-50</x:v>
      </x:c>
      <x:c r="J206" s="68" t="n">
        <x:f>'Premissas'!$G$16</x:f>
        <x:v>1</x:v>
      </x:c>
      <x:c r="K206" s="69" t="n">
        <x:f>ROUND(MAX('Premissas'!$B$5,L206-N206),1)</x:f>
        <x:v>200</x:v>
      </x:c>
      <x:c r="L206" s="69" t="n">
        <x:f>ROUND(MAX('Premissas'!$B$5,MIN('Premissas'!$B$6,'Premissas'!$B$5+('Premissas'!$B$6-'Premissas'!$B$5)*(3*H206^2-2*H206^3)+I206*4*H206*(1-H206))),1)</x:f>
        <x:v>200</x:v>
      </x:c>
      <x:c r="M206" s="69" t="n">
        <x:f>ROUND(MIN('Premissas'!$B$6,L206+N206),1)</x:f>
        <x:v>200</x:v>
      </x:c>
      <x:c r="N206" s="69" t="n">
        <x:f>ROUND('Premissas'!$B$7*J206*SQRT(10/F206)*4*H206*(1-H206),1)</x:f>
        <x:v>0</x:v>
      </x:c>
      <x:c r="O206" s="66" t="str">
        <x:v>PROVISÓRIA</x:v>
      </x:c>
    </x:row>
    <x:row r="207">
      <x:c r="A207" s="56" t="str">
        <x:v>Escala comum 7º–9º</x:v>
      </x:c>
      <x:c r="B207" s="56" t="str">
        <x:v>7º ano</x:v>
      </x:c>
      <x:c r="C207" s="56" t="str">
        <x:v>MODELO_7_ANO</x:v>
      </x:c>
      <x:c r="D207" s="56" t="str">
        <x:v>CN</x:v>
      </x:c>
      <x:c r="E207" s="56" t="str">
        <x:v>Ciências da Natureza</x:v>
      </x:c>
      <x:c r="F207" s="56" t="n">
        <x:v>5</x:v>
      </x:c>
      <x:c r="G207" s="56" t="n">
        <x:v>1</x:v>
      </x:c>
      <x:c r="H207" s="70" t="n">
        <x:f>G207/F207</x:f>
        <x:v>0.2</x:v>
      </x:c>
      <x:c r="I207" s="59" t="n">
        <x:f>'Premissas'!$B$13</x:f>
        <x:v>-50</x:v>
      </x:c>
      <x:c r="J207" s="59" t="n">
        <x:f>'Premissas'!$G$16</x:f>
        <x:v>1</x:v>
      </x:c>
      <x:c r="K207" s="57" t="n">
        <x:f>ROUND(MAX('Premissas'!$B$5,L207-N207),1)</x:f>
        <x:v>200</x:v>
      </x:c>
      <x:c r="L207" s="57" t="n">
        <x:f>ROUND(MAX('Premissas'!$B$5,MIN('Premissas'!$B$6,'Premissas'!$B$5+('Premissas'!$B$6-'Premissas'!$B$5)*(3*H207^2-2*H207^3)+I207*4*H207*(1-H207))),1)</x:f>
        <x:v>230.4</x:v>
      </x:c>
      <x:c r="M207" s="57" t="n">
        <x:f>ROUND(MIN('Premissas'!$B$6,L207+N207),1)</x:f>
        <x:v>307.3</x:v>
      </x:c>
      <x:c r="N207" s="57" t="n">
        <x:f>ROUND('Premissas'!$B$7*J207*SQRT(10/F207)*4*H207*(1-H207),1)</x:f>
        <x:v>76.9</x:v>
      </x:c>
      <x:c r="O207" s="56" t="str">
        <x:v>PROVISÓRIA</x:v>
      </x:c>
    </x:row>
    <x:row r="208">
      <x:c r="A208" s="66" t="str">
        <x:v>Escala comum 7º–9º</x:v>
      </x:c>
      <x:c r="B208" s="66" t="str">
        <x:v>7º ano</x:v>
      </x:c>
      <x:c r="C208" s="66" t="str">
        <x:v>MODELO_7_ANO</x:v>
      </x:c>
      <x:c r="D208" s="66" t="str">
        <x:v>CN</x:v>
      </x:c>
      <x:c r="E208" s="66" t="str">
        <x:v>Ciências da Natureza</x:v>
      </x:c>
      <x:c r="F208" s="66" t="n">
        <x:v>5</x:v>
      </x:c>
      <x:c r="G208" s="66" t="n">
        <x:v>2</x:v>
      </x:c>
      <x:c r="H208" s="67" t="n">
        <x:f>G208/F208</x:f>
        <x:v>0.4</x:v>
      </x:c>
      <x:c r="I208" s="68" t="n">
        <x:f>'Premissas'!$B$13</x:f>
        <x:v>-50</x:v>
      </x:c>
      <x:c r="J208" s="68" t="n">
        <x:f>'Premissas'!$G$16</x:f>
        <x:v>1</x:v>
      </x:c>
      <x:c r="K208" s="69" t="n">
        <x:f>ROUND(MAX('Premissas'!$B$5,L208-N208),1)</x:f>
        <x:v>247.8</x:v>
      </x:c>
      <x:c r="L208" s="69" t="n">
        <x:f>ROUND(MAX('Premissas'!$B$5,MIN('Premissas'!$B$6,'Premissas'!$B$5+('Premissas'!$B$6-'Premissas'!$B$5)*(3*H208^2-2*H208^3)+I208*4*H208*(1-H208))),1)</x:f>
        <x:v>363.2</x:v>
      </x:c>
      <x:c r="M208" s="69" t="n">
        <x:f>ROUND(MIN('Premissas'!$B$6,L208+N208),1)</x:f>
        <x:v>478.6</x:v>
      </x:c>
      <x:c r="N208" s="69" t="n">
        <x:f>ROUND('Premissas'!$B$7*J208*SQRT(10/F208)*4*H208*(1-H208),1)</x:f>
        <x:v>115.4</x:v>
      </x:c>
      <x:c r="O208" s="66" t="str">
        <x:v>PROVISÓRIA</x:v>
      </x:c>
    </x:row>
    <x:row r="209">
      <x:c r="A209" s="56" t="str">
        <x:v>Escala comum 7º–9º</x:v>
      </x:c>
      <x:c r="B209" s="56" t="str">
        <x:v>7º ano</x:v>
      </x:c>
      <x:c r="C209" s="56" t="str">
        <x:v>MODELO_7_ANO</x:v>
      </x:c>
      <x:c r="D209" s="56" t="str">
        <x:v>CN</x:v>
      </x:c>
      <x:c r="E209" s="56" t="str">
        <x:v>Ciências da Natureza</x:v>
      </x:c>
      <x:c r="F209" s="56" t="n">
        <x:v>5</x:v>
      </x:c>
      <x:c r="G209" s="56" t="n">
        <x:v>3</x:v>
      </x:c>
      <x:c r="H209" s="70" t="n">
        <x:f>G209/F209</x:f>
        <x:v>0.6</x:v>
      </x:c>
      <x:c r="I209" s="59" t="n">
        <x:f>'Premissas'!$B$13</x:f>
        <x:v>-50</x:v>
      </x:c>
      <x:c r="J209" s="59" t="n">
        <x:f>'Premissas'!$G$16</x:f>
        <x:v>1</x:v>
      </x:c>
      <x:c r="K209" s="57" t="n">
        <x:f>ROUND(MAX('Premissas'!$B$5,L209-N209),1)</x:f>
        <x:v>425.4</x:v>
      </x:c>
      <x:c r="L209" s="57" t="n">
        <x:f>ROUND(MAX('Premissas'!$B$5,MIN('Premissas'!$B$6,'Premissas'!$B$5+('Premissas'!$B$6-'Premissas'!$B$5)*(3*H209^2-2*H209^3)+I209*4*H209*(1-H209))),1)</x:f>
        <x:v>540.8</x:v>
      </x:c>
      <x:c r="M209" s="57" t="n">
        <x:f>ROUND(MIN('Premissas'!$B$6,L209+N209),1)</x:f>
        <x:v>656.2</x:v>
      </x:c>
      <x:c r="N209" s="57" t="n">
        <x:f>ROUND('Premissas'!$B$7*J209*SQRT(10/F209)*4*H209*(1-H209),1)</x:f>
        <x:v>115.4</x:v>
      </x:c>
      <x:c r="O209" s="56" t="str">
        <x:v>PROVISÓRIA</x:v>
      </x:c>
    </x:row>
    <x:row r="210">
      <x:c r="A210" s="66" t="str">
        <x:v>Escala comum 7º–9º</x:v>
      </x:c>
      <x:c r="B210" s="66" t="str">
        <x:v>7º ano</x:v>
      </x:c>
      <x:c r="C210" s="66" t="str">
        <x:v>MODELO_7_ANO</x:v>
      </x:c>
      <x:c r="D210" s="66" t="str">
        <x:v>CN</x:v>
      </x:c>
      <x:c r="E210" s="66" t="str">
        <x:v>Ciências da Natureza</x:v>
      </x:c>
      <x:c r="F210" s="66" t="n">
        <x:v>5</x:v>
      </x:c>
      <x:c r="G210" s="66" t="n">
        <x:v>4</x:v>
      </x:c>
      <x:c r="H210" s="67" t="n">
        <x:f>G210/F210</x:f>
        <x:v>0.8</x:v>
      </x:c>
      <x:c r="I210" s="68" t="n">
        <x:f>'Premissas'!$B$13</x:f>
        <x:v>-50</x:v>
      </x:c>
      <x:c r="J210" s="68" t="n">
        <x:f>'Premissas'!$G$16</x:f>
        <x:v>1</x:v>
      </x:c>
      <x:c r="K210" s="69" t="n">
        <x:f>ROUND(MAX('Premissas'!$B$5,L210-N210),1)</x:f>
        <x:v>628.7</x:v>
      </x:c>
      <x:c r="L210" s="69" t="n">
        <x:f>ROUND(MAX('Premissas'!$B$5,MIN('Premissas'!$B$6,'Premissas'!$B$5+('Premissas'!$B$6-'Premissas'!$B$5)*(3*H210^2-2*H210^3)+I210*4*H210*(1-H210))),1)</x:f>
        <x:v>705.6</x:v>
      </x:c>
      <x:c r="M210" s="69" t="n">
        <x:f>ROUND(MIN('Premissas'!$B$6,L210+N210),1)</x:f>
        <x:v>782.5</x:v>
      </x:c>
      <x:c r="N210" s="69" t="n">
        <x:f>ROUND('Premissas'!$B$7*J210*SQRT(10/F210)*4*H210*(1-H210),1)</x:f>
        <x:v>76.9</x:v>
      </x:c>
      <x:c r="O210" s="66" t="str">
        <x:v>PROVISÓRIA</x:v>
      </x:c>
    </x:row>
    <x:row r="211">
      <x:c r="A211" s="56" t="str">
        <x:v>Escala comum 7º–9º</x:v>
      </x:c>
      <x:c r="B211" s="56" t="str">
        <x:v>7º ano</x:v>
      </x:c>
      <x:c r="C211" s="56" t="str">
        <x:v>MODELO_7_ANO</x:v>
      </x:c>
      <x:c r="D211" s="56" t="str">
        <x:v>CN</x:v>
      </x:c>
      <x:c r="E211" s="56" t="str">
        <x:v>Ciências da Natureza</x:v>
      </x:c>
      <x:c r="F211" s="56" t="n">
        <x:v>5</x:v>
      </x:c>
      <x:c r="G211" s="56" t="n">
        <x:v>5</x:v>
      </x:c>
      <x:c r="H211" s="70" t="n">
        <x:f>G211/F211</x:f>
        <x:v>1</x:v>
      </x:c>
      <x:c r="I211" s="59" t="n">
        <x:f>'Premissas'!$B$13</x:f>
        <x:v>-50</x:v>
      </x:c>
      <x:c r="J211" s="59" t="n">
        <x:f>'Premissas'!$G$16</x:f>
        <x:v>1</x:v>
      </x:c>
      <x:c r="K211" s="57" t="n">
        <x:f>ROUND(MAX('Premissas'!$B$5,L211-N211),1)</x:f>
        <x:v>800</x:v>
      </x:c>
      <x:c r="L211" s="57" t="n">
        <x:f>ROUND(MAX('Premissas'!$B$5,MIN('Premissas'!$B$6,'Premissas'!$B$5+('Premissas'!$B$6-'Premissas'!$B$5)*(3*H211^2-2*H211^3)+I211*4*H211*(1-H211))),1)</x:f>
        <x:v>800</x:v>
      </x:c>
      <x:c r="M211" s="57" t="n">
        <x:f>ROUND(MIN('Premissas'!$B$6,L211+N211),1)</x:f>
        <x:v>800</x:v>
      </x:c>
      <x:c r="N211" s="57" t="n">
        <x:f>ROUND('Premissas'!$B$7*J211*SQRT(10/F211)*4*H211*(1-H211),1)</x:f>
        <x:v>0</x:v>
      </x:c>
      <x:c r="O211" s="56" t="str">
        <x:v>PROVISÓRIA</x:v>
      </x:c>
    </x:row>
    <x:row r="212">
      <x:c r="A212" s="66" t="str">
        <x:v>Escala comum 7º–9º</x:v>
      </x:c>
      <x:c r="B212" s="66" t="str">
        <x:v>8º ano</x:v>
      </x:c>
      <x:c r="C212" s="66" t="str">
        <x:v>MODELO_8_ANO</x:v>
      </x:c>
      <x:c r="D212" s="66" t="str">
        <x:v>GERAL</x:v>
      </x:c>
      <x:c r="E212" s="66" t="str">
        <x:v>Geral (total bruto)</x:v>
      </x:c>
      <x:c r="F212" s="66" t="n">
        <x:v>50</x:v>
      </x:c>
      <x:c r="G212" s="66" t="n">
        <x:v>0</x:v>
      </x:c>
      <x:c r="H212" s="67" t="n">
        <x:f>G212/F212</x:f>
        <x:v>0</x:v>
      </x:c>
      <x:c r="I212" s="68" t="n">
        <x:f>'Premissas'!$B$14</x:f>
        <x:v>0</x:v>
      </x:c>
      <x:c r="J212" s="68" t="n">
        <x:f>'Premissas'!$G$12</x:f>
        <x:v>1</x:v>
      </x:c>
      <x:c r="K212" s="69" t="n">
        <x:f>ROUND(MAX('Premissas'!$B$5,L212-N212),1)</x:f>
        <x:v>200</x:v>
      </x:c>
      <x:c r="L212" s="69" t="n">
        <x:f>ROUND(MAX('Premissas'!$B$5,MIN('Premissas'!$B$6,'Premissas'!$B$5+('Premissas'!$B$6-'Premissas'!$B$5)*(3*H212^2-2*H212^3)+I212*4*H212*(1-H212))),1)</x:f>
        <x:v>200</x:v>
      </x:c>
      <x:c r="M212" s="69" t="n">
        <x:f>ROUND(MIN('Premissas'!$B$6,L212+N212),1)</x:f>
        <x:v>200</x:v>
      </x:c>
      <x:c r="N212" s="69" t="n">
        <x:f>ROUND('Premissas'!$B$7*J212*SQRT(10/F212)*4*H212*(1-H212),1)</x:f>
        <x:v>0</x:v>
      </x:c>
      <x:c r="O212" s="66" t="str">
        <x:v>PROVISÓRIA</x:v>
      </x:c>
    </x:row>
    <x:row r="213">
      <x:c r="A213" s="56" t="str">
        <x:v>Escala comum 7º–9º</x:v>
      </x:c>
      <x:c r="B213" s="56" t="str">
        <x:v>8º ano</x:v>
      </x:c>
      <x:c r="C213" s="56" t="str">
        <x:v>MODELO_8_ANO</x:v>
      </x:c>
      <x:c r="D213" s="56" t="str">
        <x:v>GERAL</x:v>
      </x:c>
      <x:c r="E213" s="56" t="str">
        <x:v>Geral (total bruto)</x:v>
      </x:c>
      <x:c r="F213" s="56" t="n">
        <x:v>50</x:v>
      </x:c>
      <x:c r="G213" s="56" t="n">
        <x:v>1</x:v>
      </x:c>
      <x:c r="H213" s="70" t="n">
        <x:f>G213/F213</x:f>
        <x:v>0.02</x:v>
      </x:c>
      <x:c r="I213" s="59" t="n">
        <x:f>'Premissas'!$B$14</x:f>
        <x:v>0</x:v>
      </x:c>
      <x:c r="J213" s="59" t="n">
        <x:f>'Premissas'!$G$12</x:f>
        <x:v>1</x:v>
      </x:c>
      <x:c r="K213" s="57" t="n">
        <x:f>ROUND(MAX('Premissas'!$B$5,L213-N213),1)</x:f>
        <x:v>200</x:v>
      </x:c>
      <x:c r="L213" s="57" t="n">
        <x:f>ROUND(MAX('Premissas'!$B$5,MIN('Premissas'!$B$6,'Premissas'!$B$5+('Premissas'!$B$6-'Premissas'!$B$5)*(3*H213^2-2*H213^3)+I213*4*H213*(1-H213))),1)</x:f>
        <x:v>200.7</x:v>
      </x:c>
      <x:c r="M213" s="57" t="n">
        <x:f>ROUND(MIN('Premissas'!$B$6,L213+N213),1)</x:f>
        <x:v>203.7</x:v>
      </x:c>
      <x:c r="N213" s="57" t="n">
        <x:f>ROUND('Premissas'!$B$7*J213*SQRT(10/F213)*4*H213*(1-H213),1)</x:f>
        <x:v>3</x:v>
      </x:c>
      <x:c r="O213" s="56" t="str">
        <x:v>PROVISÓRIA</x:v>
      </x:c>
    </x:row>
    <x:row r="214">
      <x:c r="A214" s="66" t="str">
        <x:v>Escala comum 7º–9º</x:v>
      </x:c>
      <x:c r="B214" s="66" t="str">
        <x:v>8º ano</x:v>
      </x:c>
      <x:c r="C214" s="66" t="str">
        <x:v>MODELO_8_ANO</x:v>
      </x:c>
      <x:c r="D214" s="66" t="str">
        <x:v>GERAL</x:v>
      </x:c>
      <x:c r="E214" s="66" t="str">
        <x:v>Geral (total bruto)</x:v>
      </x:c>
      <x:c r="F214" s="66" t="n">
        <x:v>50</x:v>
      </x:c>
      <x:c r="G214" s="66" t="n">
        <x:v>2</x:v>
      </x:c>
      <x:c r="H214" s="67" t="n">
        <x:f>G214/F214</x:f>
        <x:v>0.04</x:v>
      </x:c>
      <x:c r="I214" s="68" t="n">
        <x:f>'Premissas'!$B$14</x:f>
        <x:v>0</x:v>
      </x:c>
      <x:c r="J214" s="68" t="n">
        <x:f>'Premissas'!$G$12</x:f>
        <x:v>1</x:v>
      </x:c>
      <x:c r="K214" s="69" t="n">
        <x:f>ROUND(MAX('Premissas'!$B$5,L214-N214),1)</x:f>
        <x:v>200</x:v>
      </x:c>
      <x:c r="L214" s="69" t="n">
        <x:f>ROUND(MAX('Premissas'!$B$5,MIN('Premissas'!$B$6,'Premissas'!$B$5+('Premissas'!$B$6-'Premissas'!$B$5)*(3*H214^2-2*H214^3)+I214*4*H214*(1-H214))),1)</x:f>
        <x:v>202.8</x:v>
      </x:c>
      <x:c r="M214" s="69" t="n">
        <x:f>ROUND(MIN('Premissas'!$B$6,L214+N214),1)</x:f>
        <x:v>208.6</x:v>
      </x:c>
      <x:c r="N214" s="69" t="n">
        <x:f>ROUND('Premissas'!$B$7*J214*SQRT(10/F214)*4*H214*(1-H214),1)</x:f>
        <x:v>5.8</x:v>
      </x:c>
      <x:c r="O214" s="66" t="str">
        <x:v>PROVISÓRIA</x:v>
      </x:c>
    </x:row>
    <x:row r="215">
      <x:c r="A215" s="56" t="str">
        <x:v>Escala comum 7º–9º</x:v>
      </x:c>
      <x:c r="B215" s="56" t="str">
        <x:v>8º ano</x:v>
      </x:c>
      <x:c r="C215" s="56" t="str">
        <x:v>MODELO_8_ANO</x:v>
      </x:c>
      <x:c r="D215" s="56" t="str">
        <x:v>GERAL</x:v>
      </x:c>
      <x:c r="E215" s="56" t="str">
        <x:v>Geral (total bruto)</x:v>
      </x:c>
      <x:c r="F215" s="56" t="n">
        <x:v>50</x:v>
      </x:c>
      <x:c r="G215" s="56" t="n">
        <x:v>3</x:v>
      </x:c>
      <x:c r="H215" s="70" t="n">
        <x:f>G215/F215</x:f>
        <x:v>0.06</x:v>
      </x:c>
      <x:c r="I215" s="59" t="n">
        <x:f>'Premissas'!$B$14</x:f>
        <x:v>0</x:v>
      </x:c>
      <x:c r="J215" s="59" t="n">
        <x:f>'Premissas'!$G$12</x:f>
        <x:v>1</x:v>
      </x:c>
      <x:c r="K215" s="57" t="n">
        <x:f>ROUND(MAX('Premissas'!$B$5,L215-N215),1)</x:f>
        <x:v>200</x:v>
      </x:c>
      <x:c r="L215" s="57" t="n">
        <x:f>ROUND(MAX('Premissas'!$B$5,MIN('Premissas'!$B$6,'Premissas'!$B$5+('Premissas'!$B$6-'Premissas'!$B$5)*(3*H215^2-2*H215^3)+I215*4*H215*(1-H215))),1)</x:f>
        <x:v>206.2</x:v>
      </x:c>
      <x:c r="M215" s="57" t="n">
        <x:f>ROUND(MIN('Premissas'!$B$6,L215+N215),1)</x:f>
        <x:v>214.8</x:v>
      </x:c>
      <x:c r="N215" s="57" t="n">
        <x:f>ROUND('Premissas'!$B$7*J215*SQRT(10/F215)*4*H215*(1-H215),1)</x:f>
        <x:v>8.6</x:v>
      </x:c>
      <x:c r="O215" s="56" t="str">
        <x:v>PROVISÓRIA</x:v>
      </x:c>
    </x:row>
    <x:row r="216">
      <x:c r="A216" s="66" t="str">
        <x:v>Escala comum 7º–9º</x:v>
      </x:c>
      <x:c r="B216" s="66" t="str">
        <x:v>8º ano</x:v>
      </x:c>
      <x:c r="C216" s="66" t="str">
        <x:v>MODELO_8_ANO</x:v>
      </x:c>
      <x:c r="D216" s="66" t="str">
        <x:v>GERAL</x:v>
      </x:c>
      <x:c r="E216" s="66" t="str">
        <x:v>Geral (total bruto)</x:v>
      </x:c>
      <x:c r="F216" s="66" t="n">
        <x:v>50</x:v>
      </x:c>
      <x:c r="G216" s="66" t="n">
        <x:v>4</x:v>
      </x:c>
      <x:c r="H216" s="67" t="n">
        <x:f>G216/F216</x:f>
        <x:v>0.08</x:v>
      </x:c>
      <x:c r="I216" s="68" t="n">
        <x:f>'Premissas'!$B$14</x:f>
        <x:v>0</x:v>
      </x:c>
      <x:c r="J216" s="68" t="n">
        <x:f>'Premissas'!$G$12</x:f>
        <x:v>1</x:v>
      </x:c>
      <x:c r="K216" s="69" t="n">
        <x:f>ROUND(MAX('Premissas'!$B$5,L216-N216),1)</x:f>
        <x:v>200</x:v>
      </x:c>
      <x:c r="L216" s="69" t="n">
        <x:f>ROUND(MAX('Premissas'!$B$5,MIN('Premissas'!$B$6,'Premissas'!$B$5+('Premissas'!$B$6-'Premissas'!$B$5)*(3*H216^2-2*H216^3)+I216*4*H216*(1-H216))),1)</x:f>
        <x:v>210.9</x:v>
      </x:c>
      <x:c r="M216" s="69" t="n">
        <x:f>ROUND(MIN('Premissas'!$B$6,L216+N216),1)</x:f>
        <x:v>222.1</x:v>
      </x:c>
      <x:c r="N216" s="69" t="n">
        <x:f>ROUND('Premissas'!$B$7*J216*SQRT(10/F216)*4*H216*(1-H216),1)</x:f>
        <x:v>11.2</x:v>
      </x:c>
      <x:c r="O216" s="66" t="str">
        <x:v>PROVISÓRIA</x:v>
      </x:c>
    </x:row>
    <x:row r="217">
      <x:c r="A217" s="56" t="str">
        <x:v>Escala comum 7º–9º</x:v>
      </x:c>
      <x:c r="B217" s="56" t="str">
        <x:v>8º ano</x:v>
      </x:c>
      <x:c r="C217" s="56" t="str">
        <x:v>MODELO_8_ANO</x:v>
      </x:c>
      <x:c r="D217" s="56" t="str">
        <x:v>GERAL</x:v>
      </x:c>
      <x:c r="E217" s="56" t="str">
        <x:v>Geral (total bruto)</x:v>
      </x:c>
      <x:c r="F217" s="56" t="n">
        <x:v>50</x:v>
      </x:c>
      <x:c r="G217" s="56" t="n">
        <x:v>5</x:v>
      </x:c>
      <x:c r="H217" s="70" t="n">
        <x:f>G217/F217</x:f>
        <x:v>0.1</x:v>
      </x:c>
      <x:c r="I217" s="59" t="n">
        <x:f>'Premissas'!$B$14</x:f>
        <x:v>0</x:v>
      </x:c>
      <x:c r="J217" s="59" t="n">
        <x:f>'Premissas'!$G$12</x:f>
        <x:v>1</x:v>
      </x:c>
      <x:c r="K217" s="57" t="n">
        <x:f>ROUND(MAX('Premissas'!$B$5,L217-N217),1)</x:f>
        <x:v>203.1</x:v>
      </x:c>
      <x:c r="L217" s="57" t="n">
        <x:f>ROUND(MAX('Premissas'!$B$5,MIN('Premissas'!$B$6,'Premissas'!$B$5+('Premissas'!$B$6-'Premissas'!$B$5)*(3*H217^2-2*H217^3)+I217*4*H217*(1-H217))),1)</x:f>
        <x:v>216.8</x:v>
      </x:c>
      <x:c r="M217" s="57" t="n">
        <x:f>ROUND(MIN('Premissas'!$B$6,L217+N217),1)</x:f>
        <x:v>230.5</x:v>
      </x:c>
      <x:c r="N217" s="57" t="n">
        <x:f>ROUND('Premissas'!$B$7*J217*SQRT(10/F217)*4*H217*(1-H217),1)</x:f>
        <x:v>13.7</x:v>
      </x:c>
      <x:c r="O217" s="56" t="str">
        <x:v>PROVISÓRIA</x:v>
      </x:c>
    </x:row>
    <x:row r="218">
      <x:c r="A218" s="66" t="str">
        <x:v>Escala comum 7º–9º</x:v>
      </x:c>
      <x:c r="B218" s="66" t="str">
        <x:v>8º ano</x:v>
      </x:c>
      <x:c r="C218" s="66" t="str">
        <x:v>MODELO_8_ANO</x:v>
      </x:c>
      <x:c r="D218" s="66" t="str">
        <x:v>GERAL</x:v>
      </x:c>
      <x:c r="E218" s="66" t="str">
        <x:v>Geral (total bruto)</x:v>
      </x:c>
      <x:c r="F218" s="66" t="n">
        <x:v>50</x:v>
      </x:c>
      <x:c r="G218" s="66" t="n">
        <x:v>6</x:v>
      </x:c>
      <x:c r="H218" s="67" t="n">
        <x:f>G218/F218</x:f>
        <x:v>0.12</x:v>
      </x:c>
      <x:c r="I218" s="68" t="n">
        <x:f>'Premissas'!$B$14</x:f>
        <x:v>0</x:v>
      </x:c>
      <x:c r="J218" s="68" t="n">
        <x:f>'Premissas'!$G$12</x:f>
        <x:v>1</x:v>
      </x:c>
      <x:c r="K218" s="69" t="n">
        <x:f>ROUND(MAX('Premissas'!$B$5,L218-N218),1)</x:f>
        <x:v>207.7</x:v>
      </x:c>
      <x:c r="L218" s="69" t="n">
        <x:f>ROUND(MAX('Premissas'!$B$5,MIN('Premissas'!$B$6,'Premissas'!$B$5+('Premissas'!$B$6-'Premissas'!$B$5)*(3*H218^2-2*H218^3)+I218*4*H218*(1-H218))),1)</x:f>
        <x:v>223.8</x:v>
      </x:c>
      <x:c r="M218" s="69" t="n">
        <x:f>ROUND(MIN('Premissas'!$B$6,L218+N218),1)</x:f>
        <x:v>239.9</x:v>
      </x:c>
      <x:c r="N218" s="69" t="n">
        <x:f>ROUND('Premissas'!$B$7*J218*SQRT(10/F218)*4*H218*(1-H218),1)</x:f>
        <x:v>16.1</x:v>
      </x:c>
      <x:c r="O218" s="66" t="str">
        <x:v>PROVISÓRIA</x:v>
      </x:c>
    </x:row>
    <x:row r="219">
      <x:c r="A219" s="56" t="str">
        <x:v>Escala comum 7º–9º</x:v>
      </x:c>
      <x:c r="B219" s="56" t="str">
        <x:v>8º ano</x:v>
      </x:c>
      <x:c r="C219" s="56" t="str">
        <x:v>MODELO_8_ANO</x:v>
      </x:c>
      <x:c r="D219" s="56" t="str">
        <x:v>GERAL</x:v>
      </x:c>
      <x:c r="E219" s="56" t="str">
        <x:v>Geral (total bruto)</x:v>
      </x:c>
      <x:c r="F219" s="56" t="n">
        <x:v>50</x:v>
      </x:c>
      <x:c r="G219" s="56" t="n">
        <x:v>7</x:v>
      </x:c>
      <x:c r="H219" s="70" t="n">
        <x:f>G219/F219</x:f>
        <x:v>0.14</x:v>
      </x:c>
      <x:c r="I219" s="59" t="n">
        <x:f>'Premissas'!$B$14</x:f>
        <x:v>0</x:v>
      </x:c>
      <x:c r="J219" s="59" t="n">
        <x:f>'Premissas'!$G$12</x:f>
        <x:v>1</x:v>
      </x:c>
      <x:c r="K219" s="57" t="n">
        <x:f>ROUND(MAX('Premissas'!$B$5,L219-N219),1)</x:f>
        <x:v>213.7</x:v>
      </x:c>
      <x:c r="L219" s="57" t="n">
        <x:f>ROUND(MAX('Premissas'!$B$5,MIN('Premissas'!$B$6,'Premissas'!$B$5+('Premissas'!$B$6-'Premissas'!$B$5)*(3*H219^2-2*H219^3)+I219*4*H219*(1-H219))),1)</x:f>
        <x:v>232</x:v>
      </x:c>
      <x:c r="M219" s="57" t="n">
        <x:f>ROUND(MIN('Premissas'!$B$6,L219+N219),1)</x:f>
        <x:v>250.3</x:v>
      </x:c>
      <x:c r="N219" s="57" t="n">
        <x:f>ROUND('Premissas'!$B$7*J219*SQRT(10/F219)*4*H219*(1-H219),1)</x:f>
        <x:v>18.3</x:v>
      </x:c>
      <x:c r="O219" s="56" t="str">
        <x:v>PROVISÓRIA</x:v>
      </x:c>
    </x:row>
    <x:row r="220">
      <x:c r="A220" s="66" t="str">
        <x:v>Escala comum 7º–9º</x:v>
      </x:c>
      <x:c r="B220" s="66" t="str">
        <x:v>8º ano</x:v>
      </x:c>
      <x:c r="C220" s="66" t="str">
        <x:v>MODELO_8_ANO</x:v>
      </x:c>
      <x:c r="D220" s="66" t="str">
        <x:v>GERAL</x:v>
      </x:c>
      <x:c r="E220" s="66" t="str">
        <x:v>Geral (total bruto)</x:v>
      </x:c>
      <x:c r="F220" s="66" t="n">
        <x:v>50</x:v>
      </x:c>
      <x:c r="G220" s="66" t="n">
        <x:v>8</x:v>
      </x:c>
      <x:c r="H220" s="67" t="n">
        <x:f>G220/F220</x:f>
        <x:v>0.16</x:v>
      </x:c>
      <x:c r="I220" s="68" t="n">
        <x:f>'Premissas'!$B$14</x:f>
        <x:v>0</x:v>
      </x:c>
      <x:c r="J220" s="68" t="n">
        <x:f>'Premissas'!$G$12</x:f>
        <x:v>1</x:v>
      </x:c>
      <x:c r="K220" s="69" t="n">
        <x:f>ROUND(MAX('Premissas'!$B$5,L220-N220),1)</x:f>
        <x:v>220.8</x:v>
      </x:c>
      <x:c r="L220" s="69" t="n">
        <x:f>ROUND(MAX('Premissas'!$B$5,MIN('Premissas'!$B$6,'Premissas'!$B$5+('Premissas'!$B$6-'Premissas'!$B$5)*(3*H220^2-2*H220^3)+I220*4*H220*(1-H220))),1)</x:f>
        <x:v>241.2</x:v>
      </x:c>
      <x:c r="M220" s="69" t="n">
        <x:f>ROUND(MIN('Premissas'!$B$6,L220+N220),1)</x:f>
        <x:v>261.6</x:v>
      </x:c>
      <x:c r="N220" s="69" t="n">
        <x:f>ROUND('Premissas'!$B$7*J220*SQRT(10/F220)*4*H220*(1-H220),1)</x:f>
        <x:v>20.4</x:v>
      </x:c>
      <x:c r="O220" s="66" t="str">
        <x:v>PROVISÓRIA</x:v>
      </x:c>
    </x:row>
    <x:row r="221">
      <x:c r="A221" s="56" t="str">
        <x:v>Escala comum 7º–9º</x:v>
      </x:c>
      <x:c r="B221" s="56" t="str">
        <x:v>8º ano</x:v>
      </x:c>
      <x:c r="C221" s="56" t="str">
        <x:v>MODELO_8_ANO</x:v>
      </x:c>
      <x:c r="D221" s="56" t="str">
        <x:v>GERAL</x:v>
      </x:c>
      <x:c r="E221" s="56" t="str">
        <x:v>Geral (total bruto)</x:v>
      </x:c>
      <x:c r="F221" s="56" t="n">
        <x:v>50</x:v>
      </x:c>
      <x:c r="G221" s="56" t="n">
        <x:v>9</x:v>
      </x:c>
      <x:c r="H221" s="70" t="n">
        <x:f>G221/F221</x:f>
        <x:v>0.18</x:v>
      </x:c>
      <x:c r="I221" s="59" t="n">
        <x:f>'Premissas'!$B$14</x:f>
        <x:v>0</x:v>
      </x:c>
      <x:c r="J221" s="59" t="n">
        <x:f>'Premissas'!$G$12</x:f>
        <x:v>1</x:v>
      </x:c>
      <x:c r="K221" s="57" t="n">
        <x:f>ROUND(MAX('Premissas'!$B$5,L221-N221),1)</x:f>
        <x:v>228.9</x:v>
      </x:c>
      <x:c r="L221" s="57" t="n">
        <x:f>ROUND(MAX('Premissas'!$B$5,MIN('Premissas'!$B$6,'Premissas'!$B$5+('Premissas'!$B$6-'Premissas'!$B$5)*(3*H221^2-2*H221^3)+I221*4*H221*(1-H221))),1)</x:f>
        <x:v>251.3</x:v>
      </x:c>
      <x:c r="M221" s="57" t="n">
        <x:f>ROUND(MIN('Premissas'!$B$6,L221+N221),1)</x:f>
        <x:v>273.7</x:v>
      </x:c>
      <x:c r="N221" s="57" t="n">
        <x:f>ROUND('Premissas'!$B$7*J221*SQRT(10/F221)*4*H221*(1-H221),1)</x:f>
        <x:v>22.4</x:v>
      </x:c>
      <x:c r="O221" s="56" t="str">
        <x:v>PROVISÓRIA</x:v>
      </x:c>
    </x:row>
    <x:row r="222">
      <x:c r="A222" s="66" t="str">
        <x:v>Escala comum 7º–9º</x:v>
      </x:c>
      <x:c r="B222" s="66" t="str">
        <x:v>8º ano</x:v>
      </x:c>
      <x:c r="C222" s="66" t="str">
        <x:v>MODELO_8_ANO</x:v>
      </x:c>
      <x:c r="D222" s="66" t="str">
        <x:v>GERAL</x:v>
      </x:c>
      <x:c r="E222" s="66" t="str">
        <x:v>Geral (total bruto)</x:v>
      </x:c>
      <x:c r="F222" s="66" t="n">
        <x:v>50</x:v>
      </x:c>
      <x:c r="G222" s="66" t="n">
        <x:v>10</x:v>
      </x:c>
      <x:c r="H222" s="67" t="n">
        <x:f>G222/F222</x:f>
        <x:v>0.2</x:v>
      </x:c>
      <x:c r="I222" s="68" t="n">
        <x:f>'Premissas'!$B$14</x:f>
        <x:v>0</x:v>
      </x:c>
      <x:c r="J222" s="68" t="n">
        <x:f>'Premissas'!$G$12</x:f>
        <x:v>1</x:v>
      </x:c>
      <x:c r="K222" s="69" t="n">
        <x:f>ROUND(MAX('Premissas'!$B$5,L222-N222),1)</x:f>
        <x:v>238.1</x:v>
      </x:c>
      <x:c r="L222" s="69" t="n">
        <x:f>ROUND(MAX('Premissas'!$B$5,MIN('Premissas'!$B$6,'Premissas'!$B$5+('Premissas'!$B$6-'Premissas'!$B$5)*(3*H222^2-2*H222^3)+I222*4*H222*(1-H222))),1)</x:f>
        <x:v>262.4</x:v>
      </x:c>
      <x:c r="M222" s="69" t="n">
        <x:f>ROUND(MIN('Premissas'!$B$6,L222+N222),1)</x:f>
        <x:v>286.7</x:v>
      </x:c>
      <x:c r="N222" s="69" t="n">
        <x:f>ROUND('Premissas'!$B$7*J222*SQRT(10/F222)*4*H222*(1-H222),1)</x:f>
        <x:v>24.3</x:v>
      </x:c>
      <x:c r="O222" s="66" t="str">
        <x:v>PROVISÓRIA</x:v>
      </x:c>
    </x:row>
    <x:row r="223">
      <x:c r="A223" s="56" t="str">
        <x:v>Escala comum 7º–9º</x:v>
      </x:c>
      <x:c r="B223" s="56" t="str">
        <x:v>8º ano</x:v>
      </x:c>
      <x:c r="C223" s="56" t="str">
        <x:v>MODELO_8_ANO</x:v>
      </x:c>
      <x:c r="D223" s="56" t="str">
        <x:v>GERAL</x:v>
      </x:c>
      <x:c r="E223" s="56" t="str">
        <x:v>Geral (total bruto)</x:v>
      </x:c>
      <x:c r="F223" s="56" t="n">
        <x:v>50</x:v>
      </x:c>
      <x:c r="G223" s="56" t="n">
        <x:v>11</x:v>
      </x:c>
      <x:c r="H223" s="70" t="n">
        <x:f>G223/F223</x:f>
        <x:v>0.22</x:v>
      </x:c>
      <x:c r="I223" s="59" t="n">
        <x:f>'Premissas'!$B$14</x:f>
        <x:v>0</x:v>
      </x:c>
      <x:c r="J223" s="59" t="n">
        <x:f>'Premissas'!$G$12</x:f>
        <x:v>1</x:v>
      </x:c>
      <x:c r="K223" s="57" t="n">
        <x:f>ROUND(MAX('Premissas'!$B$5,L223-N223),1)</x:f>
        <x:v>248.2</x:v>
      </x:c>
      <x:c r="L223" s="57" t="n">
        <x:f>ROUND(MAX('Premissas'!$B$5,MIN('Premissas'!$B$6,'Premissas'!$B$5+('Premissas'!$B$6-'Premissas'!$B$5)*(3*H223^2-2*H223^3)+I223*4*H223*(1-H223))),1)</x:f>
        <x:v>274.3</x:v>
      </x:c>
      <x:c r="M223" s="57" t="n">
        <x:f>ROUND(MIN('Premissas'!$B$6,L223+N223),1)</x:f>
        <x:v>300.4</x:v>
      </x:c>
      <x:c r="N223" s="57" t="n">
        <x:f>ROUND('Premissas'!$B$7*J223*SQRT(10/F223)*4*H223*(1-H223),1)</x:f>
        <x:v>26.1</x:v>
      </x:c>
      <x:c r="O223" s="56" t="str">
        <x:v>PROVISÓRIA</x:v>
      </x:c>
    </x:row>
    <x:row r="224">
      <x:c r="A224" s="66" t="str">
        <x:v>Escala comum 7º–9º</x:v>
      </x:c>
      <x:c r="B224" s="66" t="str">
        <x:v>8º ano</x:v>
      </x:c>
      <x:c r="C224" s="66" t="str">
        <x:v>MODELO_8_ANO</x:v>
      </x:c>
      <x:c r="D224" s="66" t="str">
        <x:v>GERAL</x:v>
      </x:c>
      <x:c r="E224" s="66" t="str">
        <x:v>Geral (total bruto)</x:v>
      </x:c>
      <x:c r="F224" s="66" t="n">
        <x:v>50</x:v>
      </x:c>
      <x:c r="G224" s="66" t="n">
        <x:v>12</x:v>
      </x:c>
      <x:c r="H224" s="67" t="n">
        <x:f>G224/F224</x:f>
        <x:v>0.24</x:v>
      </x:c>
      <x:c r="I224" s="68" t="n">
        <x:f>'Premissas'!$B$14</x:f>
        <x:v>0</x:v>
      </x:c>
      <x:c r="J224" s="68" t="n">
        <x:f>'Premissas'!$G$12</x:f>
        <x:v>1</x:v>
      </x:c>
      <x:c r="K224" s="69" t="n">
        <x:f>ROUND(MAX('Premissas'!$B$5,L224-N224),1)</x:f>
        <x:v>259.4</x:v>
      </x:c>
      <x:c r="L224" s="69" t="n">
        <x:f>ROUND(MAX('Premissas'!$B$5,MIN('Premissas'!$B$6,'Premissas'!$B$5+('Premissas'!$B$6-'Premissas'!$B$5)*(3*H224^2-2*H224^3)+I224*4*H224*(1-H224))),1)</x:f>
        <x:v>287.1</x:v>
      </x:c>
      <x:c r="M224" s="69" t="n">
        <x:f>ROUND(MIN('Premissas'!$B$6,L224+N224),1)</x:f>
        <x:v>314.8</x:v>
      </x:c>
      <x:c r="N224" s="69" t="n">
        <x:f>ROUND('Premissas'!$B$7*J224*SQRT(10/F224)*4*H224*(1-H224),1)</x:f>
        <x:v>27.7</x:v>
      </x:c>
      <x:c r="O224" s="66" t="str">
        <x:v>PROVISÓRIA</x:v>
      </x:c>
    </x:row>
    <x:row r="225">
      <x:c r="A225" s="56" t="str">
        <x:v>Escala comum 7º–9º</x:v>
      </x:c>
      <x:c r="B225" s="56" t="str">
        <x:v>8º ano</x:v>
      </x:c>
      <x:c r="C225" s="56" t="str">
        <x:v>MODELO_8_ANO</x:v>
      </x:c>
      <x:c r="D225" s="56" t="str">
        <x:v>GERAL</x:v>
      </x:c>
      <x:c r="E225" s="56" t="str">
        <x:v>Geral (total bruto)</x:v>
      </x:c>
      <x:c r="F225" s="56" t="n">
        <x:v>50</x:v>
      </x:c>
      <x:c r="G225" s="56" t="n">
        <x:v>13</x:v>
      </x:c>
      <x:c r="H225" s="70" t="n">
        <x:f>G225/F225</x:f>
        <x:v>0.26</x:v>
      </x:c>
      <x:c r="I225" s="59" t="n">
        <x:f>'Premissas'!$B$14</x:f>
        <x:v>0</x:v>
      </x:c>
      <x:c r="J225" s="59" t="n">
        <x:f>'Premissas'!$G$12</x:f>
        <x:v>1</x:v>
      </x:c>
      <x:c r="K225" s="57" t="n">
        <x:f>ROUND(MAX('Premissas'!$B$5,L225-N225),1)</x:f>
        <x:v>271.3</x:v>
      </x:c>
      <x:c r="L225" s="57" t="n">
        <x:f>ROUND(MAX('Premissas'!$B$5,MIN('Premissas'!$B$6,'Premissas'!$B$5+('Premissas'!$B$6-'Premissas'!$B$5)*(3*H225^2-2*H225^3)+I225*4*H225*(1-H225))),1)</x:f>
        <x:v>300.6</x:v>
      </x:c>
      <x:c r="M225" s="57" t="n">
        <x:f>ROUND(MIN('Premissas'!$B$6,L225+N225),1)</x:f>
        <x:v>329.9</x:v>
      </x:c>
      <x:c r="N225" s="57" t="n">
        <x:f>ROUND('Premissas'!$B$7*J225*SQRT(10/F225)*4*H225*(1-H225),1)</x:f>
        <x:v>29.3</x:v>
      </x:c>
      <x:c r="O225" s="56" t="str">
        <x:v>PROVISÓRIA</x:v>
      </x:c>
    </x:row>
    <x:row r="226">
      <x:c r="A226" s="66" t="str">
        <x:v>Escala comum 7º–9º</x:v>
      </x:c>
      <x:c r="B226" s="66" t="str">
        <x:v>8º ano</x:v>
      </x:c>
      <x:c r="C226" s="66" t="str">
        <x:v>MODELO_8_ANO</x:v>
      </x:c>
      <x:c r="D226" s="66" t="str">
        <x:v>GERAL</x:v>
      </x:c>
      <x:c r="E226" s="66" t="str">
        <x:v>Geral (total bruto)</x:v>
      </x:c>
      <x:c r="F226" s="66" t="n">
        <x:v>50</x:v>
      </x:c>
      <x:c r="G226" s="66" t="n">
        <x:v>14</x:v>
      </x:c>
      <x:c r="H226" s="67" t="n">
        <x:f>G226/F226</x:f>
        <x:v>0.28</x:v>
      </x:c>
      <x:c r="I226" s="68" t="n">
        <x:f>'Premissas'!$B$14</x:f>
        <x:v>0</x:v>
      </x:c>
      <x:c r="J226" s="68" t="n">
        <x:f>'Premissas'!$G$12</x:f>
        <x:v>1</x:v>
      </x:c>
      <x:c r="K226" s="69" t="n">
        <x:f>ROUND(MAX('Premissas'!$B$5,L226-N226),1)</x:f>
        <x:v>284.1</x:v>
      </x:c>
      <x:c r="L226" s="69" t="n">
        <x:f>ROUND(MAX('Premissas'!$B$5,MIN('Premissas'!$B$6,'Premissas'!$B$5+('Premissas'!$B$6-'Premissas'!$B$5)*(3*H226^2-2*H226^3)+I226*4*H226*(1-H226))),1)</x:f>
        <x:v>314.8</x:v>
      </x:c>
      <x:c r="M226" s="69" t="n">
        <x:f>ROUND(MIN('Premissas'!$B$6,L226+N226),1)</x:f>
        <x:v>345.5</x:v>
      </x:c>
      <x:c r="N226" s="69" t="n">
        <x:f>ROUND('Premissas'!$B$7*J226*SQRT(10/F226)*4*H226*(1-H226),1)</x:f>
        <x:v>30.7</x:v>
      </x:c>
      <x:c r="O226" s="66" t="str">
        <x:v>PROVISÓRIA</x:v>
      </x:c>
    </x:row>
    <x:row r="227">
      <x:c r="A227" s="56" t="str">
        <x:v>Escala comum 7º–9º</x:v>
      </x:c>
      <x:c r="B227" s="56" t="str">
        <x:v>8º ano</x:v>
      </x:c>
      <x:c r="C227" s="56" t="str">
        <x:v>MODELO_8_ANO</x:v>
      </x:c>
      <x:c r="D227" s="56" t="str">
        <x:v>GERAL</x:v>
      </x:c>
      <x:c r="E227" s="56" t="str">
        <x:v>Geral (total bruto)</x:v>
      </x:c>
      <x:c r="F227" s="56" t="n">
        <x:v>50</x:v>
      </x:c>
      <x:c r="G227" s="56" t="n">
        <x:v>15</x:v>
      </x:c>
      <x:c r="H227" s="70" t="n">
        <x:f>G227/F227</x:f>
        <x:v>0.3</x:v>
      </x:c>
      <x:c r="I227" s="59" t="n">
        <x:f>'Premissas'!$B$14</x:f>
        <x:v>0</x:v>
      </x:c>
      <x:c r="J227" s="59" t="n">
        <x:f>'Premissas'!$G$12</x:f>
        <x:v>1</x:v>
      </x:c>
      <x:c r="K227" s="57" t="n">
        <x:f>ROUND(MAX('Premissas'!$B$5,L227-N227),1)</x:f>
        <x:v>297.7</x:v>
      </x:c>
      <x:c r="L227" s="57" t="n">
        <x:f>ROUND(MAX('Premissas'!$B$5,MIN('Premissas'!$B$6,'Premissas'!$B$5+('Premissas'!$B$6-'Premissas'!$B$5)*(3*H227^2-2*H227^3)+I227*4*H227*(1-H227))),1)</x:f>
        <x:v>329.6</x:v>
      </x:c>
      <x:c r="M227" s="57" t="n">
        <x:f>ROUND(MIN('Premissas'!$B$6,L227+N227),1)</x:f>
        <x:v>361.5</x:v>
      </x:c>
      <x:c r="N227" s="57" t="n">
        <x:f>ROUND('Premissas'!$B$7*J227*SQRT(10/F227)*4*H227*(1-H227),1)</x:f>
        <x:v>31.9</x:v>
      </x:c>
      <x:c r="O227" s="56" t="str">
        <x:v>PROVISÓRIA</x:v>
      </x:c>
    </x:row>
    <x:row r="228">
      <x:c r="A228" s="66" t="str">
        <x:v>Escala comum 7º–9º</x:v>
      </x:c>
      <x:c r="B228" s="66" t="str">
        <x:v>8º ano</x:v>
      </x:c>
      <x:c r="C228" s="66" t="str">
        <x:v>MODELO_8_ANO</x:v>
      </x:c>
      <x:c r="D228" s="66" t="str">
        <x:v>GERAL</x:v>
      </x:c>
      <x:c r="E228" s="66" t="str">
        <x:v>Geral (total bruto)</x:v>
      </x:c>
      <x:c r="F228" s="66" t="n">
        <x:v>50</x:v>
      </x:c>
      <x:c r="G228" s="66" t="n">
        <x:v>16</x:v>
      </x:c>
      <x:c r="H228" s="67" t="n">
        <x:f>G228/F228</x:f>
        <x:v>0.32</x:v>
      </x:c>
      <x:c r="I228" s="68" t="n">
        <x:f>'Premissas'!$B$14</x:f>
        <x:v>0</x:v>
      </x:c>
      <x:c r="J228" s="68" t="n">
        <x:f>'Premissas'!$G$12</x:f>
        <x:v>1</x:v>
      </x:c>
      <x:c r="K228" s="69" t="n">
        <x:f>ROUND(MAX('Premissas'!$B$5,L228-N228),1)</x:f>
        <x:v>311.9</x:v>
      </x:c>
      <x:c r="L228" s="69" t="n">
        <x:f>ROUND(MAX('Premissas'!$B$5,MIN('Premissas'!$B$6,'Premissas'!$B$5+('Premissas'!$B$6-'Premissas'!$B$5)*(3*H228^2-2*H228^3)+I228*4*H228*(1-H228))),1)</x:f>
        <x:v>345</x:v>
      </x:c>
      <x:c r="M228" s="69" t="n">
        <x:f>ROUND(MIN('Premissas'!$B$6,L228+N228),1)</x:f>
        <x:v>378.1</x:v>
      </x:c>
      <x:c r="N228" s="69" t="n">
        <x:f>ROUND('Premissas'!$B$7*J228*SQRT(10/F228)*4*H228*(1-H228),1)</x:f>
        <x:v>33.1</x:v>
      </x:c>
      <x:c r="O228" s="66" t="str">
        <x:v>PROVISÓRIA</x:v>
      </x:c>
    </x:row>
    <x:row r="229">
      <x:c r="A229" s="56" t="str">
        <x:v>Escala comum 7º–9º</x:v>
      </x:c>
      <x:c r="B229" s="56" t="str">
        <x:v>8º ano</x:v>
      </x:c>
      <x:c r="C229" s="56" t="str">
        <x:v>MODELO_8_ANO</x:v>
      </x:c>
      <x:c r="D229" s="56" t="str">
        <x:v>GERAL</x:v>
      </x:c>
      <x:c r="E229" s="56" t="str">
        <x:v>Geral (total bruto)</x:v>
      </x:c>
      <x:c r="F229" s="56" t="n">
        <x:v>50</x:v>
      </x:c>
      <x:c r="G229" s="56" t="n">
        <x:v>17</x:v>
      </x:c>
      <x:c r="H229" s="70" t="n">
        <x:f>G229/F229</x:f>
        <x:v>0.34</x:v>
      </x:c>
      <x:c r="I229" s="59" t="n">
        <x:f>'Premissas'!$B$14</x:f>
        <x:v>0</x:v>
      </x:c>
      <x:c r="J229" s="59" t="n">
        <x:f>'Premissas'!$G$12</x:f>
        <x:v>1</x:v>
      </x:c>
      <x:c r="K229" s="57" t="n">
        <x:f>ROUND(MAX('Premissas'!$B$5,L229-N229),1)</x:f>
        <x:v>326.8</x:v>
      </x:c>
      <x:c r="L229" s="57" t="n">
        <x:f>ROUND(MAX('Premissas'!$B$5,MIN('Premissas'!$B$6,'Premissas'!$B$5+('Premissas'!$B$6-'Premissas'!$B$5)*(3*H229^2-2*H229^3)+I229*4*H229*(1-H229))),1)</x:f>
        <x:v>360.9</x:v>
      </x:c>
      <x:c r="M229" s="57" t="n">
        <x:f>ROUND(MIN('Premissas'!$B$6,L229+N229),1)</x:f>
        <x:v>395</x:v>
      </x:c>
      <x:c r="N229" s="57" t="n">
        <x:f>ROUND('Premissas'!$B$7*J229*SQRT(10/F229)*4*H229*(1-H229),1)</x:f>
        <x:v>34.1</x:v>
      </x:c>
      <x:c r="O229" s="56" t="str">
        <x:v>PROVISÓRIA</x:v>
      </x:c>
    </x:row>
    <x:row r="230">
      <x:c r="A230" s="66" t="str">
        <x:v>Escala comum 7º–9º</x:v>
      </x:c>
      <x:c r="B230" s="66" t="str">
        <x:v>8º ano</x:v>
      </x:c>
      <x:c r="C230" s="66" t="str">
        <x:v>MODELO_8_ANO</x:v>
      </x:c>
      <x:c r="D230" s="66" t="str">
        <x:v>GERAL</x:v>
      </x:c>
      <x:c r="E230" s="66" t="str">
        <x:v>Geral (total bruto)</x:v>
      </x:c>
      <x:c r="F230" s="66" t="n">
        <x:v>50</x:v>
      </x:c>
      <x:c r="G230" s="66" t="n">
        <x:v>18</x:v>
      </x:c>
      <x:c r="H230" s="67" t="n">
        <x:f>G230/F230</x:f>
        <x:v>0.36</x:v>
      </x:c>
      <x:c r="I230" s="68" t="n">
        <x:f>'Premissas'!$B$14</x:f>
        <x:v>0</x:v>
      </x:c>
      <x:c r="J230" s="68" t="n">
        <x:f>'Premissas'!$G$12</x:f>
        <x:v>1</x:v>
      </x:c>
      <x:c r="K230" s="69" t="n">
        <x:f>ROUND(MAX('Premissas'!$B$5,L230-N230),1)</x:f>
        <x:v>342.3</x:v>
      </x:c>
      <x:c r="L230" s="69" t="n">
        <x:f>ROUND(MAX('Premissas'!$B$5,MIN('Premissas'!$B$6,'Premissas'!$B$5+('Premissas'!$B$6-'Premissas'!$B$5)*(3*H230^2-2*H230^3)+I230*4*H230*(1-H230))),1)</x:f>
        <x:v>377.3</x:v>
      </x:c>
      <x:c r="M230" s="69" t="n">
        <x:f>ROUND(MIN('Premissas'!$B$6,L230+N230),1)</x:f>
        <x:v>412.3</x:v>
      </x:c>
      <x:c r="N230" s="69" t="n">
        <x:f>ROUND('Premissas'!$B$7*J230*SQRT(10/F230)*4*H230*(1-H230),1)</x:f>
        <x:v>35</x:v>
      </x:c>
      <x:c r="O230" s="66" t="str">
        <x:v>PROVISÓRIA</x:v>
      </x:c>
    </x:row>
    <x:row r="231">
      <x:c r="A231" s="56" t="str">
        <x:v>Escala comum 7º–9º</x:v>
      </x:c>
      <x:c r="B231" s="56" t="str">
        <x:v>8º ano</x:v>
      </x:c>
      <x:c r="C231" s="56" t="str">
        <x:v>MODELO_8_ANO</x:v>
      </x:c>
      <x:c r="D231" s="56" t="str">
        <x:v>GERAL</x:v>
      </x:c>
      <x:c r="E231" s="56" t="str">
        <x:v>Geral (total bruto)</x:v>
      </x:c>
      <x:c r="F231" s="56" t="n">
        <x:v>50</x:v>
      </x:c>
      <x:c r="G231" s="56" t="n">
        <x:v>19</x:v>
      </x:c>
      <x:c r="H231" s="70" t="n">
        <x:f>G231/F231</x:f>
        <x:v>0.38</x:v>
      </x:c>
      <x:c r="I231" s="59" t="n">
        <x:f>'Premissas'!$B$14</x:f>
        <x:v>0</x:v>
      </x:c>
      <x:c r="J231" s="59" t="n">
        <x:f>'Premissas'!$G$12</x:f>
        <x:v>1</x:v>
      </x:c>
      <x:c r="K231" s="57" t="n">
        <x:f>ROUND(MAX('Premissas'!$B$5,L231-N231),1)</x:f>
        <x:v>358.3</x:v>
      </x:c>
      <x:c r="L231" s="57" t="n">
        <x:f>ROUND(MAX('Premissas'!$B$5,MIN('Premissas'!$B$6,'Premissas'!$B$5+('Premissas'!$B$6-'Premissas'!$B$5)*(3*H231^2-2*H231^3)+I231*4*H231*(1-H231))),1)</x:f>
        <x:v>394.1</x:v>
      </x:c>
      <x:c r="M231" s="57" t="n">
        <x:f>ROUND(MIN('Premissas'!$B$6,L231+N231),1)</x:f>
        <x:v>429.9</x:v>
      </x:c>
      <x:c r="N231" s="57" t="n">
        <x:f>ROUND('Premissas'!$B$7*J231*SQRT(10/F231)*4*H231*(1-H231),1)</x:f>
        <x:v>35.8</x:v>
      </x:c>
      <x:c r="O231" s="56" t="str">
        <x:v>PROVISÓRIA</x:v>
      </x:c>
    </x:row>
    <x:row r="232">
      <x:c r="A232" s="66" t="str">
        <x:v>Escala comum 7º–9º</x:v>
      </x:c>
      <x:c r="B232" s="66" t="str">
        <x:v>8º ano</x:v>
      </x:c>
      <x:c r="C232" s="66" t="str">
        <x:v>MODELO_8_ANO</x:v>
      </x:c>
      <x:c r="D232" s="66" t="str">
        <x:v>GERAL</x:v>
      </x:c>
      <x:c r="E232" s="66" t="str">
        <x:v>Geral (total bruto)</x:v>
      </x:c>
      <x:c r="F232" s="66" t="n">
        <x:v>50</x:v>
      </x:c>
      <x:c r="G232" s="66" t="n">
        <x:v>20</x:v>
      </x:c>
      <x:c r="H232" s="67" t="n">
        <x:f>G232/F232</x:f>
        <x:v>0.4</x:v>
      </x:c>
      <x:c r="I232" s="68" t="n">
        <x:f>'Premissas'!$B$14</x:f>
        <x:v>0</x:v>
      </x:c>
      <x:c r="J232" s="68" t="n">
        <x:f>'Premissas'!$G$12</x:f>
        <x:v>1</x:v>
      </x:c>
      <x:c r="K232" s="69" t="n">
        <x:f>ROUND(MAX('Premissas'!$B$5,L232-N232),1)</x:f>
        <x:v>374.7</x:v>
      </x:c>
      <x:c r="L232" s="69" t="n">
        <x:f>ROUND(MAX('Premissas'!$B$5,MIN('Premissas'!$B$6,'Premissas'!$B$5+('Premissas'!$B$6-'Premissas'!$B$5)*(3*H232^2-2*H232^3)+I232*4*H232*(1-H232))),1)</x:f>
        <x:v>411.2</x:v>
      </x:c>
      <x:c r="M232" s="69" t="n">
        <x:f>ROUND(MIN('Premissas'!$B$6,L232+N232),1)</x:f>
        <x:v>447.7</x:v>
      </x:c>
      <x:c r="N232" s="69" t="n">
        <x:f>ROUND('Premissas'!$B$7*J232*SQRT(10/F232)*4*H232*(1-H232),1)</x:f>
        <x:v>36.5</x:v>
      </x:c>
      <x:c r="O232" s="66" t="str">
        <x:v>PROVISÓRIA</x:v>
      </x:c>
    </x:row>
    <x:row r="233">
      <x:c r="A233" s="56" t="str">
        <x:v>Escala comum 7º–9º</x:v>
      </x:c>
      <x:c r="B233" s="56" t="str">
        <x:v>8º ano</x:v>
      </x:c>
      <x:c r="C233" s="56" t="str">
        <x:v>MODELO_8_ANO</x:v>
      </x:c>
      <x:c r="D233" s="56" t="str">
        <x:v>GERAL</x:v>
      </x:c>
      <x:c r="E233" s="56" t="str">
        <x:v>Geral (total bruto)</x:v>
      </x:c>
      <x:c r="F233" s="56" t="n">
        <x:v>50</x:v>
      </x:c>
      <x:c r="G233" s="56" t="n">
        <x:v>21</x:v>
      </x:c>
      <x:c r="H233" s="70" t="n">
        <x:f>G233/F233</x:f>
        <x:v>0.42</x:v>
      </x:c>
      <x:c r="I233" s="59" t="n">
        <x:f>'Premissas'!$B$14</x:f>
        <x:v>0</x:v>
      </x:c>
      <x:c r="J233" s="59" t="n">
        <x:f>'Premissas'!$G$12</x:f>
        <x:v>1</x:v>
      </x:c>
      <x:c r="K233" s="57" t="n">
        <x:f>ROUND(MAX('Premissas'!$B$5,L233-N233),1)</x:f>
        <x:v>391.6</x:v>
      </x:c>
      <x:c r="L233" s="57" t="n">
        <x:f>ROUND(MAX('Premissas'!$B$5,MIN('Premissas'!$B$6,'Premissas'!$B$5+('Premissas'!$B$6-'Premissas'!$B$5)*(3*H233^2-2*H233^3)+I233*4*H233*(1-H233))),1)</x:f>
        <x:v>428.6</x:v>
      </x:c>
      <x:c r="M233" s="57" t="n">
        <x:f>ROUND(MIN('Premissas'!$B$6,L233+N233),1)</x:f>
        <x:v>465.6</x:v>
      </x:c>
      <x:c r="N233" s="57" t="n">
        <x:f>ROUND('Premissas'!$B$7*J233*SQRT(10/F233)*4*H233*(1-H233),1)</x:f>
        <x:v>37</x:v>
      </x:c>
      <x:c r="O233" s="56" t="str">
        <x:v>PROVISÓRIA</x:v>
      </x:c>
    </x:row>
    <x:row r="234">
      <x:c r="A234" s="66" t="str">
        <x:v>Escala comum 7º–9º</x:v>
      </x:c>
      <x:c r="B234" s="66" t="str">
        <x:v>8º ano</x:v>
      </x:c>
      <x:c r="C234" s="66" t="str">
        <x:v>MODELO_8_ANO</x:v>
      </x:c>
      <x:c r="D234" s="66" t="str">
        <x:v>GERAL</x:v>
      </x:c>
      <x:c r="E234" s="66" t="str">
        <x:v>Geral (total bruto)</x:v>
      </x:c>
      <x:c r="F234" s="66" t="n">
        <x:v>50</x:v>
      </x:c>
      <x:c r="G234" s="66" t="n">
        <x:v>22</x:v>
      </x:c>
      <x:c r="H234" s="67" t="n">
        <x:f>G234/F234</x:f>
        <x:v>0.44</x:v>
      </x:c>
      <x:c r="I234" s="68" t="n">
        <x:f>'Premissas'!$B$14</x:f>
        <x:v>0</x:v>
      </x:c>
      <x:c r="J234" s="68" t="n">
        <x:f>'Premissas'!$G$12</x:f>
        <x:v>1</x:v>
      </x:c>
      <x:c r="K234" s="69" t="n">
        <x:f>ROUND(MAX('Premissas'!$B$5,L234-N234),1)</x:f>
        <x:v>408.8</x:v>
      </x:c>
      <x:c r="L234" s="69" t="n">
        <x:f>ROUND(MAX('Premissas'!$B$5,MIN('Premissas'!$B$6,'Premissas'!$B$5+('Premissas'!$B$6-'Premissas'!$B$5)*(3*H234^2-2*H234^3)+I234*4*H234*(1-H234))),1)</x:f>
        <x:v>446.3</x:v>
      </x:c>
      <x:c r="M234" s="69" t="n">
        <x:f>ROUND(MIN('Premissas'!$B$6,L234+N234),1)</x:f>
        <x:v>483.8</x:v>
      </x:c>
      <x:c r="N234" s="69" t="n">
        <x:f>ROUND('Premissas'!$B$7*J234*SQRT(10/F234)*4*H234*(1-H234),1)</x:f>
        <x:v>37.5</x:v>
      </x:c>
      <x:c r="O234" s="66" t="str">
        <x:v>PROVISÓRIA</x:v>
      </x:c>
    </x:row>
    <x:row r="235">
      <x:c r="A235" s="56" t="str">
        <x:v>Escala comum 7º–9º</x:v>
      </x:c>
      <x:c r="B235" s="56" t="str">
        <x:v>8º ano</x:v>
      </x:c>
      <x:c r="C235" s="56" t="str">
        <x:v>MODELO_8_ANO</x:v>
      </x:c>
      <x:c r="D235" s="56" t="str">
        <x:v>GERAL</x:v>
      </x:c>
      <x:c r="E235" s="56" t="str">
        <x:v>Geral (total bruto)</x:v>
      </x:c>
      <x:c r="F235" s="56" t="n">
        <x:v>50</x:v>
      </x:c>
      <x:c r="G235" s="56" t="n">
        <x:v>23</x:v>
      </x:c>
      <x:c r="H235" s="70" t="n">
        <x:f>G235/F235</x:f>
        <x:v>0.46</x:v>
      </x:c>
      <x:c r="I235" s="59" t="n">
        <x:f>'Premissas'!$B$14</x:f>
        <x:v>0</x:v>
      </x:c>
      <x:c r="J235" s="59" t="n">
        <x:f>'Premissas'!$G$12</x:f>
        <x:v>1</x:v>
      </x:c>
      <x:c r="K235" s="57" t="n">
        <x:f>ROUND(MAX('Premissas'!$B$5,L235-N235),1)</x:f>
        <x:v>426.3</x:v>
      </x:c>
      <x:c r="L235" s="57" t="n">
        <x:f>ROUND(MAX('Premissas'!$B$5,MIN('Premissas'!$B$6,'Premissas'!$B$5+('Premissas'!$B$6-'Premissas'!$B$5)*(3*H235^2-2*H235^3)+I235*4*H235*(1-H235))),1)</x:f>
        <x:v>464.1</x:v>
      </x:c>
      <x:c r="M235" s="57" t="n">
        <x:f>ROUND(MIN('Premissas'!$B$6,L235+N235),1)</x:f>
        <x:v>501.9</x:v>
      </x:c>
      <x:c r="N235" s="57" t="n">
        <x:f>ROUND('Premissas'!$B$7*J235*SQRT(10/F235)*4*H235*(1-H235),1)</x:f>
        <x:v>37.8</x:v>
      </x:c>
      <x:c r="O235" s="56" t="str">
        <x:v>PROVISÓRIA</x:v>
      </x:c>
    </x:row>
    <x:row r="236">
      <x:c r="A236" s="66" t="str">
        <x:v>Escala comum 7º–9º</x:v>
      </x:c>
      <x:c r="B236" s="66" t="str">
        <x:v>8º ano</x:v>
      </x:c>
      <x:c r="C236" s="66" t="str">
        <x:v>MODELO_8_ANO</x:v>
      </x:c>
      <x:c r="D236" s="66" t="str">
        <x:v>GERAL</x:v>
      </x:c>
      <x:c r="E236" s="66" t="str">
        <x:v>Geral (total bruto)</x:v>
      </x:c>
      <x:c r="F236" s="66" t="n">
        <x:v>50</x:v>
      </x:c>
      <x:c r="G236" s="66" t="n">
        <x:v>24</x:v>
      </x:c>
      <x:c r="H236" s="67" t="n">
        <x:f>G236/F236</x:f>
        <x:v>0.48</x:v>
      </x:c>
      <x:c r="I236" s="68" t="n">
        <x:f>'Premissas'!$B$14</x:f>
        <x:v>0</x:v>
      </x:c>
      <x:c r="J236" s="68" t="n">
        <x:f>'Premissas'!$G$12</x:f>
        <x:v>1</x:v>
      </x:c>
      <x:c r="K236" s="69" t="n">
        <x:f>ROUND(MAX('Premissas'!$B$5,L236-N236),1)</x:f>
        <x:v>444</x:v>
      </x:c>
      <x:c r="L236" s="69" t="n">
        <x:f>ROUND(MAX('Premissas'!$B$5,MIN('Premissas'!$B$6,'Premissas'!$B$5+('Premissas'!$B$6-'Premissas'!$B$5)*(3*H236^2-2*H236^3)+I236*4*H236*(1-H236))),1)</x:f>
        <x:v>482</x:v>
      </x:c>
      <x:c r="M236" s="69" t="n">
        <x:f>ROUND(MIN('Premissas'!$B$6,L236+N236),1)</x:f>
        <x:v>520</x:v>
      </x:c>
      <x:c r="N236" s="69" t="n">
        <x:f>ROUND('Premissas'!$B$7*J236*SQRT(10/F236)*4*H236*(1-H236),1)</x:f>
        <x:v>38</x:v>
      </x:c>
      <x:c r="O236" s="66" t="str">
        <x:v>PROVISÓRIA</x:v>
      </x:c>
    </x:row>
    <x:row r="237">
      <x:c r="A237" s="56" t="str">
        <x:v>Escala comum 7º–9º</x:v>
      </x:c>
      <x:c r="B237" s="56" t="str">
        <x:v>8º ano</x:v>
      </x:c>
      <x:c r="C237" s="56" t="str">
        <x:v>MODELO_8_ANO</x:v>
      </x:c>
      <x:c r="D237" s="56" t="str">
        <x:v>GERAL</x:v>
      </x:c>
      <x:c r="E237" s="56" t="str">
        <x:v>Geral (total bruto)</x:v>
      </x:c>
      <x:c r="F237" s="56" t="n">
        <x:v>50</x:v>
      </x:c>
      <x:c r="G237" s="56" t="n">
        <x:v>25</x:v>
      </x:c>
      <x:c r="H237" s="70" t="n">
        <x:f>G237/F237</x:f>
        <x:v>0.5</x:v>
      </x:c>
      <x:c r="I237" s="59" t="n">
        <x:f>'Premissas'!$B$14</x:f>
        <x:v>0</x:v>
      </x:c>
      <x:c r="J237" s="59" t="n">
        <x:f>'Premissas'!$G$12</x:f>
        <x:v>1</x:v>
      </x:c>
      <x:c r="K237" s="57" t="n">
        <x:f>ROUND(MAX('Premissas'!$B$5,L237-N237),1)</x:f>
        <x:v>462</x:v>
      </x:c>
      <x:c r="L237" s="57" t="n">
        <x:f>ROUND(MAX('Premissas'!$B$5,MIN('Premissas'!$B$6,'Premissas'!$B$5+('Premissas'!$B$6-'Premissas'!$B$5)*(3*H237^2-2*H237^3)+I237*4*H237*(1-H237))),1)</x:f>
        <x:v>500</x:v>
      </x:c>
      <x:c r="M237" s="57" t="n">
        <x:f>ROUND(MIN('Premissas'!$B$6,L237+N237),1)</x:f>
        <x:v>538</x:v>
      </x:c>
      <x:c r="N237" s="57" t="n">
        <x:f>ROUND('Premissas'!$B$7*J237*SQRT(10/F237)*4*H237*(1-H237),1)</x:f>
        <x:v>38</x:v>
      </x:c>
      <x:c r="O237" s="56" t="str">
        <x:v>PROVISÓRIA</x:v>
      </x:c>
    </x:row>
    <x:row r="238">
      <x:c r="A238" s="66" t="str">
        <x:v>Escala comum 7º–9º</x:v>
      </x:c>
      <x:c r="B238" s="66" t="str">
        <x:v>8º ano</x:v>
      </x:c>
      <x:c r="C238" s="66" t="str">
        <x:v>MODELO_8_ANO</x:v>
      </x:c>
      <x:c r="D238" s="66" t="str">
        <x:v>GERAL</x:v>
      </x:c>
      <x:c r="E238" s="66" t="str">
        <x:v>Geral (total bruto)</x:v>
      </x:c>
      <x:c r="F238" s="66" t="n">
        <x:v>50</x:v>
      </x:c>
      <x:c r="G238" s="66" t="n">
        <x:v>26</x:v>
      </x:c>
      <x:c r="H238" s="67" t="n">
        <x:f>G238/F238</x:f>
        <x:v>0.52</x:v>
      </x:c>
      <x:c r="I238" s="68" t="n">
        <x:f>'Premissas'!$B$14</x:f>
        <x:v>0</x:v>
      </x:c>
      <x:c r="J238" s="68" t="n">
        <x:f>'Premissas'!$G$12</x:f>
        <x:v>1</x:v>
      </x:c>
      <x:c r="K238" s="69" t="n">
        <x:f>ROUND(MAX('Premissas'!$B$5,L238-N238),1)</x:f>
        <x:v>480</x:v>
      </x:c>
      <x:c r="L238" s="69" t="n">
        <x:f>ROUND(MAX('Premissas'!$B$5,MIN('Premissas'!$B$6,'Premissas'!$B$5+('Premissas'!$B$6-'Premissas'!$B$5)*(3*H238^2-2*H238^3)+I238*4*H238*(1-H238))),1)</x:f>
        <x:v>518</x:v>
      </x:c>
      <x:c r="M238" s="69" t="n">
        <x:f>ROUND(MIN('Premissas'!$B$6,L238+N238),1)</x:f>
        <x:v>556</x:v>
      </x:c>
      <x:c r="N238" s="69" t="n">
        <x:f>ROUND('Premissas'!$B$7*J238*SQRT(10/F238)*4*H238*(1-H238),1)</x:f>
        <x:v>38</x:v>
      </x:c>
      <x:c r="O238" s="66" t="str">
        <x:v>PROVISÓRIA</x:v>
      </x:c>
    </x:row>
    <x:row r="239">
      <x:c r="A239" s="56" t="str">
        <x:v>Escala comum 7º–9º</x:v>
      </x:c>
      <x:c r="B239" s="56" t="str">
        <x:v>8º ano</x:v>
      </x:c>
      <x:c r="C239" s="56" t="str">
        <x:v>MODELO_8_ANO</x:v>
      </x:c>
      <x:c r="D239" s="56" t="str">
        <x:v>GERAL</x:v>
      </x:c>
      <x:c r="E239" s="56" t="str">
        <x:v>Geral (total bruto)</x:v>
      </x:c>
      <x:c r="F239" s="56" t="n">
        <x:v>50</x:v>
      </x:c>
      <x:c r="G239" s="56" t="n">
        <x:v>27</x:v>
      </x:c>
      <x:c r="H239" s="70" t="n">
        <x:f>G239/F239</x:f>
        <x:v>0.54</x:v>
      </x:c>
      <x:c r="I239" s="59" t="n">
        <x:f>'Premissas'!$B$14</x:f>
        <x:v>0</x:v>
      </x:c>
      <x:c r="J239" s="59" t="n">
        <x:f>'Premissas'!$G$12</x:f>
        <x:v>1</x:v>
      </x:c>
      <x:c r="K239" s="57" t="n">
        <x:f>ROUND(MAX('Premissas'!$B$5,L239-N239),1)</x:f>
        <x:v>498.1</x:v>
      </x:c>
      <x:c r="L239" s="57" t="n">
        <x:f>ROUND(MAX('Premissas'!$B$5,MIN('Premissas'!$B$6,'Premissas'!$B$5+('Premissas'!$B$6-'Premissas'!$B$5)*(3*H239^2-2*H239^3)+I239*4*H239*(1-H239))),1)</x:f>
        <x:v>535.9</x:v>
      </x:c>
      <x:c r="M239" s="57" t="n">
        <x:f>ROUND(MIN('Premissas'!$B$6,L239+N239),1)</x:f>
        <x:v>573.7</x:v>
      </x:c>
      <x:c r="N239" s="57" t="n">
        <x:f>ROUND('Premissas'!$B$7*J239*SQRT(10/F239)*4*H239*(1-H239),1)</x:f>
        <x:v>37.8</x:v>
      </x:c>
      <x:c r="O239" s="56" t="str">
        <x:v>PROVISÓRIA</x:v>
      </x:c>
    </x:row>
    <x:row r="240">
      <x:c r="A240" s="66" t="str">
        <x:v>Escala comum 7º–9º</x:v>
      </x:c>
      <x:c r="B240" s="66" t="str">
        <x:v>8º ano</x:v>
      </x:c>
      <x:c r="C240" s="66" t="str">
        <x:v>MODELO_8_ANO</x:v>
      </x:c>
      <x:c r="D240" s="66" t="str">
        <x:v>GERAL</x:v>
      </x:c>
      <x:c r="E240" s="66" t="str">
        <x:v>Geral (total bruto)</x:v>
      </x:c>
      <x:c r="F240" s="66" t="n">
        <x:v>50</x:v>
      </x:c>
      <x:c r="G240" s="66" t="n">
        <x:v>28</x:v>
      </x:c>
      <x:c r="H240" s="67" t="n">
        <x:f>G240/F240</x:f>
        <x:v>0.56</x:v>
      </x:c>
      <x:c r="I240" s="68" t="n">
        <x:f>'Premissas'!$B$14</x:f>
        <x:v>0</x:v>
      </x:c>
      <x:c r="J240" s="68" t="n">
        <x:f>'Premissas'!$G$12</x:f>
        <x:v>1</x:v>
      </x:c>
      <x:c r="K240" s="69" t="n">
        <x:f>ROUND(MAX('Premissas'!$B$5,L240-N240),1)</x:f>
        <x:v>516.2</x:v>
      </x:c>
      <x:c r="L240" s="69" t="n">
        <x:f>ROUND(MAX('Premissas'!$B$5,MIN('Premissas'!$B$6,'Premissas'!$B$5+('Premissas'!$B$6-'Premissas'!$B$5)*(3*H240^2-2*H240^3)+I240*4*H240*(1-H240))),1)</x:f>
        <x:v>553.7</x:v>
      </x:c>
      <x:c r="M240" s="69" t="n">
        <x:f>ROUND(MIN('Premissas'!$B$6,L240+N240),1)</x:f>
        <x:v>591.2</x:v>
      </x:c>
      <x:c r="N240" s="69" t="n">
        <x:f>ROUND('Premissas'!$B$7*J240*SQRT(10/F240)*4*H240*(1-H240),1)</x:f>
        <x:v>37.5</x:v>
      </x:c>
      <x:c r="O240" s="66" t="str">
        <x:v>PROVISÓRIA</x:v>
      </x:c>
    </x:row>
    <x:row r="241">
      <x:c r="A241" s="56" t="str">
        <x:v>Escala comum 7º–9º</x:v>
      </x:c>
      <x:c r="B241" s="56" t="str">
        <x:v>8º ano</x:v>
      </x:c>
      <x:c r="C241" s="56" t="str">
        <x:v>MODELO_8_ANO</x:v>
      </x:c>
      <x:c r="D241" s="56" t="str">
        <x:v>GERAL</x:v>
      </x:c>
      <x:c r="E241" s="56" t="str">
        <x:v>Geral (total bruto)</x:v>
      </x:c>
      <x:c r="F241" s="56" t="n">
        <x:v>50</x:v>
      </x:c>
      <x:c r="G241" s="56" t="n">
        <x:v>29</x:v>
      </x:c>
      <x:c r="H241" s="70" t="n">
        <x:f>G241/F241</x:f>
        <x:v>0.58</x:v>
      </x:c>
      <x:c r="I241" s="59" t="n">
        <x:f>'Premissas'!$B$14</x:f>
        <x:v>0</x:v>
      </x:c>
      <x:c r="J241" s="59" t="n">
        <x:f>'Premissas'!$G$12</x:f>
        <x:v>1</x:v>
      </x:c>
      <x:c r="K241" s="57" t="n">
        <x:f>ROUND(MAX('Premissas'!$B$5,L241-N241),1)</x:f>
        <x:v>534.4</x:v>
      </x:c>
      <x:c r="L241" s="57" t="n">
        <x:f>ROUND(MAX('Premissas'!$B$5,MIN('Premissas'!$B$6,'Premissas'!$B$5+('Premissas'!$B$6-'Premissas'!$B$5)*(3*H241^2-2*H241^3)+I241*4*H241*(1-H241))),1)</x:f>
        <x:v>571.4</x:v>
      </x:c>
      <x:c r="M241" s="57" t="n">
        <x:f>ROUND(MIN('Premissas'!$B$6,L241+N241),1)</x:f>
        <x:v>608.4</x:v>
      </x:c>
      <x:c r="N241" s="57" t="n">
        <x:f>ROUND('Premissas'!$B$7*J241*SQRT(10/F241)*4*H241*(1-H241),1)</x:f>
        <x:v>37</x:v>
      </x:c>
      <x:c r="O241" s="56" t="str">
        <x:v>PROVISÓRIA</x:v>
      </x:c>
    </x:row>
    <x:row r="242">
      <x:c r="A242" s="66" t="str">
        <x:v>Escala comum 7º–9º</x:v>
      </x:c>
      <x:c r="B242" s="66" t="str">
        <x:v>8º ano</x:v>
      </x:c>
      <x:c r="C242" s="66" t="str">
        <x:v>MODELO_8_ANO</x:v>
      </x:c>
      <x:c r="D242" s="66" t="str">
        <x:v>GERAL</x:v>
      </x:c>
      <x:c r="E242" s="66" t="str">
        <x:v>Geral (total bruto)</x:v>
      </x:c>
      <x:c r="F242" s="66" t="n">
        <x:v>50</x:v>
      </x:c>
      <x:c r="G242" s="66" t="n">
        <x:v>30</x:v>
      </x:c>
      <x:c r="H242" s="67" t="n">
        <x:f>G242/F242</x:f>
        <x:v>0.6</x:v>
      </x:c>
      <x:c r="I242" s="68" t="n">
        <x:f>'Premissas'!$B$14</x:f>
        <x:v>0</x:v>
      </x:c>
      <x:c r="J242" s="68" t="n">
        <x:f>'Premissas'!$G$12</x:f>
        <x:v>1</x:v>
      </x:c>
      <x:c r="K242" s="69" t="n">
        <x:f>ROUND(MAX('Premissas'!$B$5,L242-N242),1)</x:f>
        <x:v>552.3</x:v>
      </x:c>
      <x:c r="L242" s="69" t="n">
        <x:f>ROUND(MAX('Premissas'!$B$5,MIN('Premissas'!$B$6,'Premissas'!$B$5+('Premissas'!$B$6-'Premissas'!$B$5)*(3*H242^2-2*H242^3)+I242*4*H242*(1-H242))),1)</x:f>
        <x:v>588.8</x:v>
      </x:c>
      <x:c r="M242" s="69" t="n">
        <x:f>ROUND(MIN('Premissas'!$B$6,L242+N242),1)</x:f>
        <x:v>625.3</x:v>
      </x:c>
      <x:c r="N242" s="69" t="n">
        <x:f>ROUND('Premissas'!$B$7*J242*SQRT(10/F242)*4*H242*(1-H242),1)</x:f>
        <x:v>36.5</x:v>
      </x:c>
      <x:c r="O242" s="66" t="str">
        <x:v>PROVISÓRIA</x:v>
      </x:c>
    </x:row>
    <x:row r="243">
      <x:c r="A243" s="56" t="str">
        <x:v>Escala comum 7º–9º</x:v>
      </x:c>
      <x:c r="B243" s="56" t="str">
        <x:v>8º ano</x:v>
      </x:c>
      <x:c r="C243" s="56" t="str">
        <x:v>MODELO_8_ANO</x:v>
      </x:c>
      <x:c r="D243" s="56" t="str">
        <x:v>GERAL</x:v>
      </x:c>
      <x:c r="E243" s="56" t="str">
        <x:v>Geral (total bruto)</x:v>
      </x:c>
      <x:c r="F243" s="56" t="n">
        <x:v>50</x:v>
      </x:c>
      <x:c r="G243" s="56" t="n">
        <x:v>31</x:v>
      </x:c>
      <x:c r="H243" s="70" t="n">
        <x:f>G243/F243</x:f>
        <x:v>0.62</x:v>
      </x:c>
      <x:c r="I243" s="59" t="n">
        <x:f>'Premissas'!$B$14</x:f>
        <x:v>0</x:v>
      </x:c>
      <x:c r="J243" s="59" t="n">
        <x:f>'Premissas'!$G$12</x:f>
        <x:v>1</x:v>
      </x:c>
      <x:c r="K243" s="57" t="n">
        <x:f>ROUND(MAX('Premissas'!$B$5,L243-N243),1)</x:f>
        <x:v>570.1</x:v>
      </x:c>
      <x:c r="L243" s="57" t="n">
        <x:f>ROUND(MAX('Premissas'!$B$5,MIN('Premissas'!$B$6,'Premissas'!$B$5+('Premissas'!$B$6-'Premissas'!$B$5)*(3*H243^2-2*H243^3)+I243*4*H243*(1-H243))),1)</x:f>
        <x:v>605.9</x:v>
      </x:c>
      <x:c r="M243" s="57" t="n">
        <x:f>ROUND(MIN('Premissas'!$B$6,L243+N243),1)</x:f>
        <x:v>641.7</x:v>
      </x:c>
      <x:c r="N243" s="57" t="n">
        <x:f>ROUND('Premissas'!$B$7*J243*SQRT(10/F243)*4*H243*(1-H243),1)</x:f>
        <x:v>35.8</x:v>
      </x:c>
      <x:c r="O243" s="56" t="str">
        <x:v>PROVISÓRIA</x:v>
      </x:c>
    </x:row>
    <x:row r="244">
      <x:c r="A244" s="66" t="str">
        <x:v>Escala comum 7º–9º</x:v>
      </x:c>
      <x:c r="B244" s="66" t="str">
        <x:v>8º ano</x:v>
      </x:c>
      <x:c r="C244" s="66" t="str">
        <x:v>MODELO_8_ANO</x:v>
      </x:c>
      <x:c r="D244" s="66" t="str">
        <x:v>GERAL</x:v>
      </x:c>
      <x:c r="E244" s="66" t="str">
        <x:v>Geral (total bruto)</x:v>
      </x:c>
      <x:c r="F244" s="66" t="n">
        <x:v>50</x:v>
      </x:c>
      <x:c r="G244" s="66" t="n">
        <x:v>32</x:v>
      </x:c>
      <x:c r="H244" s="67" t="n">
        <x:f>G244/F244</x:f>
        <x:v>0.64</x:v>
      </x:c>
      <x:c r="I244" s="68" t="n">
        <x:f>'Premissas'!$B$14</x:f>
        <x:v>0</x:v>
      </x:c>
      <x:c r="J244" s="68" t="n">
        <x:f>'Premissas'!$G$12</x:f>
        <x:v>1</x:v>
      </x:c>
      <x:c r="K244" s="69" t="n">
        <x:f>ROUND(MAX('Premissas'!$B$5,L244-N244),1)</x:f>
        <x:v>587.7</x:v>
      </x:c>
      <x:c r="L244" s="69" t="n">
        <x:f>ROUND(MAX('Premissas'!$B$5,MIN('Premissas'!$B$6,'Premissas'!$B$5+('Premissas'!$B$6-'Premissas'!$B$5)*(3*H244^2-2*H244^3)+I244*4*H244*(1-H244))),1)</x:f>
        <x:v>622.7</x:v>
      </x:c>
      <x:c r="M244" s="69" t="n">
        <x:f>ROUND(MIN('Premissas'!$B$6,L244+N244),1)</x:f>
        <x:v>657.7</x:v>
      </x:c>
      <x:c r="N244" s="69" t="n">
        <x:f>ROUND('Premissas'!$B$7*J244*SQRT(10/F244)*4*H244*(1-H244),1)</x:f>
        <x:v>35</x:v>
      </x:c>
      <x:c r="O244" s="66" t="str">
        <x:v>PROVISÓRIA</x:v>
      </x:c>
    </x:row>
    <x:row r="245">
      <x:c r="A245" s="56" t="str">
        <x:v>Escala comum 7º–9º</x:v>
      </x:c>
      <x:c r="B245" s="56" t="str">
        <x:v>8º ano</x:v>
      </x:c>
      <x:c r="C245" s="56" t="str">
        <x:v>MODELO_8_ANO</x:v>
      </x:c>
      <x:c r="D245" s="56" t="str">
        <x:v>GERAL</x:v>
      </x:c>
      <x:c r="E245" s="56" t="str">
        <x:v>Geral (total bruto)</x:v>
      </x:c>
      <x:c r="F245" s="56" t="n">
        <x:v>50</x:v>
      </x:c>
      <x:c r="G245" s="56" t="n">
        <x:v>33</x:v>
      </x:c>
      <x:c r="H245" s="70" t="n">
        <x:f>G245/F245</x:f>
        <x:v>0.66</x:v>
      </x:c>
      <x:c r="I245" s="59" t="n">
        <x:f>'Premissas'!$B$14</x:f>
        <x:v>0</x:v>
      </x:c>
      <x:c r="J245" s="59" t="n">
        <x:f>'Premissas'!$G$12</x:f>
        <x:v>1</x:v>
      </x:c>
      <x:c r="K245" s="57" t="n">
        <x:f>ROUND(MAX('Premissas'!$B$5,L245-N245),1)</x:f>
        <x:v>605</x:v>
      </x:c>
      <x:c r="L245" s="57" t="n">
        <x:f>ROUND(MAX('Premissas'!$B$5,MIN('Premissas'!$B$6,'Premissas'!$B$5+('Premissas'!$B$6-'Premissas'!$B$5)*(3*H245^2-2*H245^3)+I245*4*H245*(1-H245))),1)</x:f>
        <x:v>639.1</x:v>
      </x:c>
      <x:c r="M245" s="57" t="n">
        <x:f>ROUND(MIN('Premissas'!$B$6,L245+N245),1)</x:f>
        <x:v>673.2</x:v>
      </x:c>
      <x:c r="N245" s="57" t="n">
        <x:f>ROUND('Premissas'!$B$7*J245*SQRT(10/F245)*4*H245*(1-H245),1)</x:f>
        <x:v>34.1</x:v>
      </x:c>
      <x:c r="O245" s="56" t="str">
        <x:v>PROVISÓRIA</x:v>
      </x:c>
    </x:row>
    <x:row r="246">
      <x:c r="A246" s="66" t="str">
        <x:v>Escala comum 7º–9º</x:v>
      </x:c>
      <x:c r="B246" s="66" t="str">
        <x:v>8º ano</x:v>
      </x:c>
      <x:c r="C246" s="66" t="str">
        <x:v>MODELO_8_ANO</x:v>
      </x:c>
      <x:c r="D246" s="66" t="str">
        <x:v>GERAL</x:v>
      </x:c>
      <x:c r="E246" s="66" t="str">
        <x:v>Geral (total bruto)</x:v>
      </x:c>
      <x:c r="F246" s="66" t="n">
        <x:v>50</x:v>
      </x:c>
      <x:c r="G246" s="66" t="n">
        <x:v>34</x:v>
      </x:c>
      <x:c r="H246" s="67" t="n">
        <x:f>G246/F246</x:f>
        <x:v>0.68</x:v>
      </x:c>
      <x:c r="I246" s="68" t="n">
        <x:f>'Premissas'!$B$14</x:f>
        <x:v>0</x:v>
      </x:c>
      <x:c r="J246" s="68" t="n">
        <x:f>'Premissas'!$G$12</x:f>
        <x:v>1</x:v>
      </x:c>
      <x:c r="K246" s="69" t="n">
        <x:f>ROUND(MAX('Premissas'!$B$5,L246-N246),1)</x:f>
        <x:v>621.9</x:v>
      </x:c>
      <x:c r="L246" s="69" t="n">
        <x:f>ROUND(MAX('Premissas'!$B$5,MIN('Premissas'!$B$6,'Premissas'!$B$5+('Premissas'!$B$6-'Premissas'!$B$5)*(3*H246^2-2*H246^3)+I246*4*H246*(1-H246))),1)</x:f>
        <x:v>655</x:v>
      </x:c>
      <x:c r="M246" s="69" t="n">
        <x:f>ROUND(MIN('Premissas'!$B$6,L246+N246),1)</x:f>
        <x:v>688.1</x:v>
      </x:c>
      <x:c r="N246" s="69" t="n">
        <x:f>ROUND('Premissas'!$B$7*J246*SQRT(10/F246)*4*H246*(1-H246),1)</x:f>
        <x:v>33.1</x:v>
      </x:c>
      <x:c r="O246" s="66" t="str">
        <x:v>PROVISÓRIA</x:v>
      </x:c>
    </x:row>
    <x:row r="247">
      <x:c r="A247" s="56" t="str">
        <x:v>Escala comum 7º–9º</x:v>
      </x:c>
      <x:c r="B247" s="56" t="str">
        <x:v>8º ano</x:v>
      </x:c>
      <x:c r="C247" s="56" t="str">
        <x:v>MODELO_8_ANO</x:v>
      </x:c>
      <x:c r="D247" s="56" t="str">
        <x:v>GERAL</x:v>
      </x:c>
      <x:c r="E247" s="56" t="str">
        <x:v>Geral (total bruto)</x:v>
      </x:c>
      <x:c r="F247" s="56" t="n">
        <x:v>50</x:v>
      </x:c>
      <x:c r="G247" s="56" t="n">
        <x:v>35</x:v>
      </x:c>
      <x:c r="H247" s="70" t="n">
        <x:f>G247/F247</x:f>
        <x:v>0.7</x:v>
      </x:c>
      <x:c r="I247" s="59" t="n">
        <x:f>'Premissas'!$B$14</x:f>
        <x:v>0</x:v>
      </x:c>
      <x:c r="J247" s="59" t="n">
        <x:f>'Premissas'!$G$12</x:f>
        <x:v>1</x:v>
      </x:c>
      <x:c r="K247" s="57" t="n">
        <x:f>ROUND(MAX('Premissas'!$B$5,L247-N247),1)</x:f>
        <x:v>638.5</x:v>
      </x:c>
      <x:c r="L247" s="57" t="n">
        <x:f>ROUND(MAX('Premissas'!$B$5,MIN('Premissas'!$B$6,'Premissas'!$B$5+('Premissas'!$B$6-'Premissas'!$B$5)*(3*H247^2-2*H247^3)+I247*4*H247*(1-H247))),1)</x:f>
        <x:v>670.4</x:v>
      </x:c>
      <x:c r="M247" s="57" t="n">
        <x:f>ROUND(MIN('Premissas'!$B$6,L247+N247),1)</x:f>
        <x:v>702.3</x:v>
      </x:c>
      <x:c r="N247" s="57" t="n">
        <x:f>ROUND('Premissas'!$B$7*J247*SQRT(10/F247)*4*H247*(1-H247),1)</x:f>
        <x:v>31.9</x:v>
      </x:c>
      <x:c r="O247" s="56" t="str">
        <x:v>PROVISÓRIA</x:v>
      </x:c>
    </x:row>
    <x:row r="248">
      <x:c r="A248" s="66" t="str">
        <x:v>Escala comum 7º–9º</x:v>
      </x:c>
      <x:c r="B248" s="66" t="str">
        <x:v>8º ano</x:v>
      </x:c>
      <x:c r="C248" s="66" t="str">
        <x:v>MODELO_8_ANO</x:v>
      </x:c>
      <x:c r="D248" s="66" t="str">
        <x:v>GERAL</x:v>
      </x:c>
      <x:c r="E248" s="66" t="str">
        <x:v>Geral (total bruto)</x:v>
      </x:c>
      <x:c r="F248" s="66" t="n">
        <x:v>50</x:v>
      </x:c>
      <x:c r="G248" s="66" t="n">
        <x:v>36</x:v>
      </x:c>
      <x:c r="H248" s="67" t="n">
        <x:f>G248/F248</x:f>
        <x:v>0.72</x:v>
      </x:c>
      <x:c r="I248" s="68" t="n">
        <x:f>'Premissas'!$B$14</x:f>
        <x:v>0</x:v>
      </x:c>
      <x:c r="J248" s="68" t="n">
        <x:f>'Premissas'!$G$12</x:f>
        <x:v>1</x:v>
      </x:c>
      <x:c r="K248" s="69" t="n">
        <x:f>ROUND(MAX('Premissas'!$B$5,L248-N248),1)</x:f>
        <x:v>654.5</x:v>
      </x:c>
      <x:c r="L248" s="69" t="n">
        <x:f>ROUND(MAX('Premissas'!$B$5,MIN('Premissas'!$B$6,'Premissas'!$B$5+('Premissas'!$B$6-'Premissas'!$B$5)*(3*H248^2-2*H248^3)+I248*4*H248*(1-H248))),1)</x:f>
        <x:v>685.2</x:v>
      </x:c>
      <x:c r="M248" s="69" t="n">
        <x:f>ROUND(MIN('Premissas'!$B$6,L248+N248),1)</x:f>
        <x:v>715.9</x:v>
      </x:c>
      <x:c r="N248" s="69" t="n">
        <x:f>ROUND('Premissas'!$B$7*J248*SQRT(10/F248)*4*H248*(1-H248),1)</x:f>
        <x:v>30.7</x:v>
      </x:c>
      <x:c r="O248" s="66" t="str">
        <x:v>PROVISÓRIA</x:v>
      </x:c>
    </x:row>
    <x:row r="249">
      <x:c r="A249" s="56" t="str">
        <x:v>Escala comum 7º–9º</x:v>
      </x:c>
      <x:c r="B249" s="56" t="str">
        <x:v>8º ano</x:v>
      </x:c>
      <x:c r="C249" s="56" t="str">
        <x:v>MODELO_8_ANO</x:v>
      </x:c>
      <x:c r="D249" s="56" t="str">
        <x:v>GERAL</x:v>
      </x:c>
      <x:c r="E249" s="56" t="str">
        <x:v>Geral (total bruto)</x:v>
      </x:c>
      <x:c r="F249" s="56" t="n">
        <x:v>50</x:v>
      </x:c>
      <x:c r="G249" s="56" t="n">
        <x:v>37</x:v>
      </x:c>
      <x:c r="H249" s="70" t="n">
        <x:f>G249/F249</x:f>
        <x:v>0.74</x:v>
      </x:c>
      <x:c r="I249" s="59" t="n">
        <x:f>'Premissas'!$B$14</x:f>
        <x:v>0</x:v>
      </x:c>
      <x:c r="J249" s="59" t="n">
        <x:f>'Premissas'!$G$12</x:f>
        <x:v>1</x:v>
      </x:c>
      <x:c r="K249" s="57" t="n">
        <x:f>ROUND(MAX('Premissas'!$B$5,L249-N249),1)</x:f>
        <x:v>670.1</x:v>
      </x:c>
      <x:c r="L249" s="57" t="n">
        <x:f>ROUND(MAX('Premissas'!$B$5,MIN('Premissas'!$B$6,'Premissas'!$B$5+('Premissas'!$B$6-'Premissas'!$B$5)*(3*H249^2-2*H249^3)+I249*4*H249*(1-H249))),1)</x:f>
        <x:v>699.4</x:v>
      </x:c>
      <x:c r="M249" s="57" t="n">
        <x:f>ROUND(MIN('Premissas'!$B$6,L249+N249),1)</x:f>
        <x:v>728.7</x:v>
      </x:c>
      <x:c r="N249" s="57" t="n">
        <x:f>ROUND('Premissas'!$B$7*J249*SQRT(10/F249)*4*H249*(1-H249),1)</x:f>
        <x:v>29.3</x:v>
      </x:c>
      <x:c r="O249" s="56" t="str">
        <x:v>PROVISÓRIA</x:v>
      </x:c>
    </x:row>
    <x:row r="250">
      <x:c r="A250" s="66" t="str">
        <x:v>Escala comum 7º–9º</x:v>
      </x:c>
      <x:c r="B250" s="66" t="str">
        <x:v>8º ano</x:v>
      </x:c>
      <x:c r="C250" s="66" t="str">
        <x:v>MODELO_8_ANO</x:v>
      </x:c>
      <x:c r="D250" s="66" t="str">
        <x:v>GERAL</x:v>
      </x:c>
      <x:c r="E250" s="66" t="str">
        <x:v>Geral (total bruto)</x:v>
      </x:c>
      <x:c r="F250" s="66" t="n">
        <x:v>50</x:v>
      </x:c>
      <x:c r="G250" s="66" t="n">
        <x:v>38</x:v>
      </x:c>
      <x:c r="H250" s="67" t="n">
        <x:f>G250/F250</x:f>
        <x:v>0.76</x:v>
      </x:c>
      <x:c r="I250" s="68" t="n">
        <x:f>'Premissas'!$B$14</x:f>
        <x:v>0</x:v>
      </x:c>
      <x:c r="J250" s="68" t="n">
        <x:f>'Premissas'!$G$12</x:f>
        <x:v>1</x:v>
      </x:c>
      <x:c r="K250" s="69" t="n">
        <x:f>ROUND(MAX('Premissas'!$B$5,L250-N250),1)</x:f>
        <x:v>685.2</x:v>
      </x:c>
      <x:c r="L250" s="69" t="n">
        <x:f>ROUND(MAX('Premissas'!$B$5,MIN('Premissas'!$B$6,'Premissas'!$B$5+('Premissas'!$B$6-'Premissas'!$B$5)*(3*H250^2-2*H250^3)+I250*4*H250*(1-H250))),1)</x:f>
        <x:v>712.9</x:v>
      </x:c>
      <x:c r="M250" s="69" t="n">
        <x:f>ROUND(MIN('Premissas'!$B$6,L250+N250),1)</x:f>
        <x:v>740.6</x:v>
      </x:c>
      <x:c r="N250" s="69" t="n">
        <x:f>ROUND('Premissas'!$B$7*J250*SQRT(10/F250)*4*H250*(1-H250),1)</x:f>
        <x:v>27.7</x:v>
      </x:c>
      <x:c r="O250" s="66" t="str">
        <x:v>PROVISÓRIA</x:v>
      </x:c>
    </x:row>
    <x:row r="251">
      <x:c r="A251" s="56" t="str">
        <x:v>Escala comum 7º–9º</x:v>
      </x:c>
      <x:c r="B251" s="56" t="str">
        <x:v>8º ano</x:v>
      </x:c>
      <x:c r="C251" s="56" t="str">
        <x:v>MODELO_8_ANO</x:v>
      </x:c>
      <x:c r="D251" s="56" t="str">
        <x:v>GERAL</x:v>
      </x:c>
      <x:c r="E251" s="56" t="str">
        <x:v>Geral (total bruto)</x:v>
      </x:c>
      <x:c r="F251" s="56" t="n">
        <x:v>50</x:v>
      </x:c>
      <x:c r="G251" s="56" t="n">
        <x:v>39</x:v>
      </x:c>
      <x:c r="H251" s="70" t="n">
        <x:f>G251/F251</x:f>
        <x:v>0.78</x:v>
      </x:c>
      <x:c r="I251" s="59" t="n">
        <x:f>'Premissas'!$B$14</x:f>
        <x:v>0</x:v>
      </x:c>
      <x:c r="J251" s="59" t="n">
        <x:f>'Premissas'!$G$12</x:f>
        <x:v>1</x:v>
      </x:c>
      <x:c r="K251" s="57" t="n">
        <x:f>ROUND(MAX('Premissas'!$B$5,L251-N251),1)</x:f>
        <x:v>699.6</x:v>
      </x:c>
      <x:c r="L251" s="57" t="n">
        <x:f>ROUND(MAX('Premissas'!$B$5,MIN('Premissas'!$B$6,'Premissas'!$B$5+('Premissas'!$B$6-'Premissas'!$B$5)*(3*H251^2-2*H251^3)+I251*4*H251*(1-H251))),1)</x:f>
        <x:v>725.7</x:v>
      </x:c>
      <x:c r="M251" s="57" t="n">
        <x:f>ROUND(MIN('Premissas'!$B$6,L251+N251),1)</x:f>
        <x:v>751.8</x:v>
      </x:c>
      <x:c r="N251" s="57" t="n">
        <x:f>ROUND('Premissas'!$B$7*J251*SQRT(10/F251)*4*H251*(1-H251),1)</x:f>
        <x:v>26.1</x:v>
      </x:c>
      <x:c r="O251" s="56" t="str">
        <x:v>PROVISÓRIA</x:v>
      </x:c>
    </x:row>
    <x:row r="252">
      <x:c r="A252" s="66" t="str">
        <x:v>Escala comum 7º–9º</x:v>
      </x:c>
      <x:c r="B252" s="66" t="str">
        <x:v>8º ano</x:v>
      </x:c>
      <x:c r="C252" s="66" t="str">
        <x:v>MODELO_8_ANO</x:v>
      </x:c>
      <x:c r="D252" s="66" t="str">
        <x:v>GERAL</x:v>
      </x:c>
      <x:c r="E252" s="66" t="str">
        <x:v>Geral (total bruto)</x:v>
      </x:c>
      <x:c r="F252" s="66" t="n">
        <x:v>50</x:v>
      </x:c>
      <x:c r="G252" s="66" t="n">
        <x:v>40</x:v>
      </x:c>
      <x:c r="H252" s="67" t="n">
        <x:f>G252/F252</x:f>
        <x:v>0.8</x:v>
      </x:c>
      <x:c r="I252" s="68" t="n">
        <x:f>'Premissas'!$B$14</x:f>
        <x:v>0</x:v>
      </x:c>
      <x:c r="J252" s="68" t="n">
        <x:f>'Premissas'!$G$12</x:f>
        <x:v>1</x:v>
      </x:c>
      <x:c r="K252" s="69" t="n">
        <x:f>ROUND(MAX('Premissas'!$B$5,L252-N252),1)</x:f>
        <x:v>713.3</x:v>
      </x:c>
      <x:c r="L252" s="69" t="n">
        <x:f>ROUND(MAX('Premissas'!$B$5,MIN('Premissas'!$B$6,'Premissas'!$B$5+('Premissas'!$B$6-'Premissas'!$B$5)*(3*H252^2-2*H252^3)+I252*4*H252*(1-H252))),1)</x:f>
        <x:v>737.6</x:v>
      </x:c>
      <x:c r="M252" s="69" t="n">
        <x:f>ROUND(MIN('Premissas'!$B$6,L252+N252),1)</x:f>
        <x:v>761.9</x:v>
      </x:c>
      <x:c r="N252" s="69" t="n">
        <x:f>ROUND('Premissas'!$B$7*J252*SQRT(10/F252)*4*H252*(1-H252),1)</x:f>
        <x:v>24.3</x:v>
      </x:c>
      <x:c r="O252" s="66" t="str">
        <x:v>PROVISÓRIA</x:v>
      </x:c>
    </x:row>
    <x:row r="253">
      <x:c r="A253" s="56" t="str">
        <x:v>Escala comum 7º–9º</x:v>
      </x:c>
      <x:c r="B253" s="56" t="str">
        <x:v>8º ano</x:v>
      </x:c>
      <x:c r="C253" s="56" t="str">
        <x:v>MODELO_8_ANO</x:v>
      </x:c>
      <x:c r="D253" s="56" t="str">
        <x:v>GERAL</x:v>
      </x:c>
      <x:c r="E253" s="56" t="str">
        <x:v>Geral (total bruto)</x:v>
      </x:c>
      <x:c r="F253" s="56" t="n">
        <x:v>50</x:v>
      </x:c>
      <x:c r="G253" s="56" t="n">
        <x:v>41</x:v>
      </x:c>
      <x:c r="H253" s="70" t="n">
        <x:f>G253/F253</x:f>
        <x:v>0.82</x:v>
      </x:c>
      <x:c r="I253" s="59" t="n">
        <x:f>'Premissas'!$B$14</x:f>
        <x:v>0</x:v>
      </x:c>
      <x:c r="J253" s="59" t="n">
        <x:f>'Premissas'!$G$12</x:f>
        <x:v>1</x:v>
      </x:c>
      <x:c r="K253" s="57" t="n">
        <x:f>ROUND(MAX('Premissas'!$B$5,L253-N253),1)</x:f>
        <x:v>726.3</x:v>
      </x:c>
      <x:c r="L253" s="57" t="n">
        <x:f>ROUND(MAX('Premissas'!$B$5,MIN('Premissas'!$B$6,'Premissas'!$B$5+('Premissas'!$B$6-'Premissas'!$B$5)*(3*H253^2-2*H253^3)+I253*4*H253*(1-H253))),1)</x:f>
        <x:v>748.7</x:v>
      </x:c>
      <x:c r="M253" s="57" t="n">
        <x:f>ROUND(MIN('Premissas'!$B$6,L253+N253),1)</x:f>
        <x:v>771.1</x:v>
      </x:c>
      <x:c r="N253" s="57" t="n">
        <x:f>ROUND('Premissas'!$B$7*J253*SQRT(10/F253)*4*H253*(1-H253),1)</x:f>
        <x:v>22.4</x:v>
      </x:c>
      <x:c r="O253" s="56" t="str">
        <x:v>PROVISÓRIA</x:v>
      </x:c>
    </x:row>
    <x:row r="254">
      <x:c r="A254" s="66" t="str">
        <x:v>Escala comum 7º–9º</x:v>
      </x:c>
      <x:c r="B254" s="66" t="str">
        <x:v>8º ano</x:v>
      </x:c>
      <x:c r="C254" s="66" t="str">
        <x:v>MODELO_8_ANO</x:v>
      </x:c>
      <x:c r="D254" s="66" t="str">
        <x:v>GERAL</x:v>
      </x:c>
      <x:c r="E254" s="66" t="str">
        <x:v>Geral (total bruto)</x:v>
      </x:c>
      <x:c r="F254" s="66" t="n">
        <x:v>50</x:v>
      </x:c>
      <x:c r="G254" s="66" t="n">
        <x:v>42</x:v>
      </x:c>
      <x:c r="H254" s="67" t="n">
        <x:f>G254/F254</x:f>
        <x:v>0.84</x:v>
      </x:c>
      <x:c r="I254" s="68" t="n">
        <x:f>'Premissas'!$B$14</x:f>
        <x:v>0</x:v>
      </x:c>
      <x:c r="J254" s="68" t="n">
        <x:f>'Premissas'!$G$12</x:f>
        <x:v>1</x:v>
      </x:c>
      <x:c r="K254" s="69" t="n">
        <x:f>ROUND(MAX('Premissas'!$B$5,L254-N254),1)</x:f>
        <x:v>738.4</x:v>
      </x:c>
      <x:c r="L254" s="69" t="n">
        <x:f>ROUND(MAX('Premissas'!$B$5,MIN('Premissas'!$B$6,'Premissas'!$B$5+('Premissas'!$B$6-'Premissas'!$B$5)*(3*H254^2-2*H254^3)+I254*4*H254*(1-H254))),1)</x:f>
        <x:v>758.8</x:v>
      </x:c>
      <x:c r="M254" s="69" t="n">
        <x:f>ROUND(MIN('Premissas'!$B$6,L254+N254),1)</x:f>
        <x:v>779.2</x:v>
      </x:c>
      <x:c r="N254" s="69" t="n">
        <x:f>ROUND('Premissas'!$B$7*J254*SQRT(10/F254)*4*H254*(1-H254),1)</x:f>
        <x:v>20.4</x:v>
      </x:c>
      <x:c r="O254" s="66" t="str">
        <x:v>PROVISÓRIA</x:v>
      </x:c>
    </x:row>
    <x:row r="255">
      <x:c r="A255" s="56" t="str">
        <x:v>Escala comum 7º–9º</x:v>
      </x:c>
      <x:c r="B255" s="56" t="str">
        <x:v>8º ano</x:v>
      </x:c>
      <x:c r="C255" s="56" t="str">
        <x:v>MODELO_8_ANO</x:v>
      </x:c>
      <x:c r="D255" s="56" t="str">
        <x:v>GERAL</x:v>
      </x:c>
      <x:c r="E255" s="56" t="str">
        <x:v>Geral (total bruto)</x:v>
      </x:c>
      <x:c r="F255" s="56" t="n">
        <x:v>50</x:v>
      </x:c>
      <x:c r="G255" s="56" t="n">
        <x:v>43</x:v>
      </x:c>
      <x:c r="H255" s="70" t="n">
        <x:f>G255/F255</x:f>
        <x:v>0.86</x:v>
      </x:c>
      <x:c r="I255" s="59" t="n">
        <x:f>'Premissas'!$B$14</x:f>
        <x:v>0</x:v>
      </x:c>
      <x:c r="J255" s="59" t="n">
        <x:f>'Premissas'!$G$12</x:f>
        <x:v>1</x:v>
      </x:c>
      <x:c r="K255" s="57" t="n">
        <x:f>ROUND(MAX('Premissas'!$B$5,L255-N255),1)</x:f>
        <x:v>749.7</x:v>
      </x:c>
      <x:c r="L255" s="57" t="n">
        <x:f>ROUND(MAX('Premissas'!$B$5,MIN('Premissas'!$B$6,'Premissas'!$B$5+('Premissas'!$B$6-'Premissas'!$B$5)*(3*H255^2-2*H255^3)+I255*4*H255*(1-H255))),1)</x:f>
        <x:v>768</x:v>
      </x:c>
      <x:c r="M255" s="57" t="n">
        <x:f>ROUND(MIN('Premissas'!$B$6,L255+N255),1)</x:f>
        <x:v>786.3</x:v>
      </x:c>
      <x:c r="N255" s="57" t="n">
        <x:f>ROUND('Premissas'!$B$7*J255*SQRT(10/F255)*4*H255*(1-H255),1)</x:f>
        <x:v>18.3</x:v>
      </x:c>
      <x:c r="O255" s="56" t="str">
        <x:v>PROVISÓRIA</x:v>
      </x:c>
    </x:row>
    <x:row r="256">
      <x:c r="A256" s="66" t="str">
        <x:v>Escala comum 7º–9º</x:v>
      </x:c>
      <x:c r="B256" s="66" t="str">
        <x:v>8º ano</x:v>
      </x:c>
      <x:c r="C256" s="66" t="str">
        <x:v>MODELO_8_ANO</x:v>
      </x:c>
      <x:c r="D256" s="66" t="str">
        <x:v>GERAL</x:v>
      </x:c>
      <x:c r="E256" s="66" t="str">
        <x:v>Geral (total bruto)</x:v>
      </x:c>
      <x:c r="F256" s="66" t="n">
        <x:v>50</x:v>
      </x:c>
      <x:c r="G256" s="66" t="n">
        <x:v>44</x:v>
      </x:c>
      <x:c r="H256" s="67" t="n">
        <x:f>G256/F256</x:f>
        <x:v>0.88</x:v>
      </x:c>
      <x:c r="I256" s="68" t="n">
        <x:f>'Premissas'!$B$14</x:f>
        <x:v>0</x:v>
      </x:c>
      <x:c r="J256" s="68" t="n">
        <x:f>'Premissas'!$G$12</x:f>
        <x:v>1</x:v>
      </x:c>
      <x:c r="K256" s="69" t="n">
        <x:f>ROUND(MAX('Premissas'!$B$5,L256-N256),1)</x:f>
        <x:v>760.1</x:v>
      </x:c>
      <x:c r="L256" s="69" t="n">
        <x:f>ROUND(MAX('Premissas'!$B$5,MIN('Premissas'!$B$6,'Premissas'!$B$5+('Premissas'!$B$6-'Premissas'!$B$5)*(3*H256^2-2*H256^3)+I256*4*H256*(1-H256))),1)</x:f>
        <x:v>776.2</x:v>
      </x:c>
      <x:c r="M256" s="69" t="n">
        <x:f>ROUND(MIN('Premissas'!$B$6,L256+N256),1)</x:f>
        <x:v>792.3</x:v>
      </x:c>
      <x:c r="N256" s="69" t="n">
        <x:f>ROUND('Premissas'!$B$7*J256*SQRT(10/F256)*4*H256*(1-H256),1)</x:f>
        <x:v>16.1</x:v>
      </x:c>
      <x:c r="O256" s="66" t="str">
        <x:v>PROVISÓRIA</x:v>
      </x:c>
    </x:row>
    <x:row r="257">
      <x:c r="A257" s="56" t="str">
        <x:v>Escala comum 7º–9º</x:v>
      </x:c>
      <x:c r="B257" s="56" t="str">
        <x:v>8º ano</x:v>
      </x:c>
      <x:c r="C257" s="56" t="str">
        <x:v>MODELO_8_ANO</x:v>
      </x:c>
      <x:c r="D257" s="56" t="str">
        <x:v>GERAL</x:v>
      </x:c>
      <x:c r="E257" s="56" t="str">
        <x:v>Geral (total bruto)</x:v>
      </x:c>
      <x:c r="F257" s="56" t="n">
        <x:v>50</x:v>
      </x:c>
      <x:c r="G257" s="56" t="n">
        <x:v>45</x:v>
      </x:c>
      <x:c r="H257" s="70" t="n">
        <x:f>G257/F257</x:f>
        <x:v>0.9</x:v>
      </x:c>
      <x:c r="I257" s="59" t="n">
        <x:f>'Premissas'!$B$14</x:f>
        <x:v>0</x:v>
      </x:c>
      <x:c r="J257" s="59" t="n">
        <x:f>'Premissas'!$G$12</x:f>
        <x:v>1</x:v>
      </x:c>
      <x:c r="K257" s="57" t="n">
        <x:f>ROUND(MAX('Premissas'!$B$5,L257-N257),1)</x:f>
        <x:v>769.5</x:v>
      </x:c>
      <x:c r="L257" s="57" t="n">
        <x:f>ROUND(MAX('Premissas'!$B$5,MIN('Premissas'!$B$6,'Premissas'!$B$5+('Premissas'!$B$6-'Premissas'!$B$5)*(3*H257^2-2*H257^3)+I257*4*H257*(1-H257))),1)</x:f>
        <x:v>783.2</x:v>
      </x:c>
      <x:c r="M257" s="57" t="n">
        <x:f>ROUND(MIN('Premissas'!$B$6,L257+N257),1)</x:f>
        <x:v>796.9</x:v>
      </x:c>
      <x:c r="N257" s="57" t="n">
        <x:f>ROUND('Premissas'!$B$7*J257*SQRT(10/F257)*4*H257*(1-H257),1)</x:f>
        <x:v>13.7</x:v>
      </x:c>
      <x:c r="O257" s="56" t="str">
        <x:v>PROVISÓRIA</x:v>
      </x:c>
    </x:row>
    <x:row r="258">
      <x:c r="A258" s="66" t="str">
        <x:v>Escala comum 7º–9º</x:v>
      </x:c>
      <x:c r="B258" s="66" t="str">
        <x:v>8º ano</x:v>
      </x:c>
      <x:c r="C258" s="66" t="str">
        <x:v>MODELO_8_ANO</x:v>
      </x:c>
      <x:c r="D258" s="66" t="str">
        <x:v>GERAL</x:v>
      </x:c>
      <x:c r="E258" s="66" t="str">
        <x:v>Geral (total bruto)</x:v>
      </x:c>
      <x:c r="F258" s="66" t="n">
        <x:v>50</x:v>
      </x:c>
      <x:c r="G258" s="66" t="n">
        <x:v>46</x:v>
      </x:c>
      <x:c r="H258" s="67" t="n">
        <x:f>G258/F258</x:f>
        <x:v>0.92</x:v>
      </x:c>
      <x:c r="I258" s="68" t="n">
        <x:f>'Premissas'!$B$14</x:f>
        <x:v>0</x:v>
      </x:c>
      <x:c r="J258" s="68" t="n">
        <x:f>'Premissas'!$G$12</x:f>
        <x:v>1</x:v>
      </x:c>
      <x:c r="K258" s="69" t="n">
        <x:f>ROUND(MAX('Premissas'!$B$5,L258-N258),1)</x:f>
        <x:v>777.9</x:v>
      </x:c>
      <x:c r="L258" s="69" t="n">
        <x:f>ROUND(MAX('Premissas'!$B$5,MIN('Premissas'!$B$6,'Premissas'!$B$5+('Premissas'!$B$6-'Premissas'!$B$5)*(3*H258^2-2*H258^3)+I258*4*H258*(1-H258))),1)</x:f>
        <x:v>789.1</x:v>
      </x:c>
      <x:c r="M258" s="69" t="n">
        <x:f>ROUND(MIN('Premissas'!$B$6,L258+N258),1)</x:f>
        <x:v>800</x:v>
      </x:c>
      <x:c r="N258" s="69" t="n">
        <x:f>ROUND('Premissas'!$B$7*J258*SQRT(10/F258)*4*H258*(1-H258),1)</x:f>
        <x:v>11.2</x:v>
      </x:c>
      <x:c r="O258" s="66" t="str">
        <x:v>PROVISÓRIA</x:v>
      </x:c>
    </x:row>
    <x:row r="259">
      <x:c r="A259" s="56" t="str">
        <x:v>Escala comum 7º–9º</x:v>
      </x:c>
      <x:c r="B259" s="56" t="str">
        <x:v>8º ano</x:v>
      </x:c>
      <x:c r="C259" s="56" t="str">
        <x:v>MODELO_8_ANO</x:v>
      </x:c>
      <x:c r="D259" s="56" t="str">
        <x:v>GERAL</x:v>
      </x:c>
      <x:c r="E259" s="56" t="str">
        <x:v>Geral (total bruto)</x:v>
      </x:c>
      <x:c r="F259" s="56" t="n">
        <x:v>50</x:v>
      </x:c>
      <x:c r="G259" s="56" t="n">
        <x:v>47</x:v>
      </x:c>
      <x:c r="H259" s="70" t="n">
        <x:f>G259/F259</x:f>
        <x:v>0.94</x:v>
      </x:c>
      <x:c r="I259" s="59" t="n">
        <x:f>'Premissas'!$B$14</x:f>
        <x:v>0</x:v>
      </x:c>
      <x:c r="J259" s="59" t="n">
        <x:f>'Premissas'!$G$12</x:f>
        <x:v>1</x:v>
      </x:c>
      <x:c r="K259" s="57" t="n">
        <x:f>ROUND(MAX('Premissas'!$B$5,L259-N259),1)</x:f>
        <x:v>785.2</x:v>
      </x:c>
      <x:c r="L259" s="57" t="n">
        <x:f>ROUND(MAX('Premissas'!$B$5,MIN('Premissas'!$B$6,'Premissas'!$B$5+('Premissas'!$B$6-'Premissas'!$B$5)*(3*H259^2-2*H259^3)+I259*4*H259*(1-H259))),1)</x:f>
        <x:v>793.8</x:v>
      </x:c>
      <x:c r="M259" s="57" t="n">
        <x:f>ROUND(MIN('Premissas'!$B$6,L259+N259),1)</x:f>
        <x:v>800</x:v>
      </x:c>
      <x:c r="N259" s="57" t="n">
        <x:f>ROUND('Premissas'!$B$7*J259*SQRT(10/F259)*4*H259*(1-H259),1)</x:f>
        <x:v>8.6</x:v>
      </x:c>
      <x:c r="O259" s="56" t="str">
        <x:v>PROVISÓRIA</x:v>
      </x:c>
    </x:row>
    <x:row r="260">
      <x:c r="A260" s="66" t="str">
        <x:v>Escala comum 7º–9º</x:v>
      </x:c>
      <x:c r="B260" s="66" t="str">
        <x:v>8º ano</x:v>
      </x:c>
      <x:c r="C260" s="66" t="str">
        <x:v>MODELO_8_ANO</x:v>
      </x:c>
      <x:c r="D260" s="66" t="str">
        <x:v>GERAL</x:v>
      </x:c>
      <x:c r="E260" s="66" t="str">
        <x:v>Geral (total bruto)</x:v>
      </x:c>
      <x:c r="F260" s="66" t="n">
        <x:v>50</x:v>
      </x:c>
      <x:c r="G260" s="66" t="n">
        <x:v>48</x:v>
      </x:c>
      <x:c r="H260" s="67" t="n">
        <x:f>G260/F260</x:f>
        <x:v>0.96</x:v>
      </x:c>
      <x:c r="I260" s="68" t="n">
        <x:f>'Premissas'!$B$14</x:f>
        <x:v>0</x:v>
      </x:c>
      <x:c r="J260" s="68" t="n">
        <x:f>'Premissas'!$G$12</x:f>
        <x:v>1</x:v>
      </x:c>
      <x:c r="K260" s="69" t="n">
        <x:f>ROUND(MAX('Premissas'!$B$5,L260-N260),1)</x:f>
        <x:v>791.4</x:v>
      </x:c>
      <x:c r="L260" s="69" t="n">
        <x:f>ROUND(MAX('Premissas'!$B$5,MIN('Premissas'!$B$6,'Premissas'!$B$5+('Premissas'!$B$6-'Premissas'!$B$5)*(3*H260^2-2*H260^3)+I260*4*H260*(1-H260))),1)</x:f>
        <x:v>797.2</x:v>
      </x:c>
      <x:c r="M260" s="69" t="n">
        <x:f>ROUND(MIN('Premissas'!$B$6,L260+N260),1)</x:f>
        <x:v>800</x:v>
      </x:c>
      <x:c r="N260" s="69" t="n">
        <x:f>ROUND('Premissas'!$B$7*J260*SQRT(10/F260)*4*H260*(1-H260),1)</x:f>
        <x:v>5.8</x:v>
      </x:c>
      <x:c r="O260" s="66" t="str">
        <x:v>PROVISÓRIA</x:v>
      </x:c>
    </x:row>
    <x:row r="261">
      <x:c r="A261" s="56" t="str">
        <x:v>Escala comum 7º–9º</x:v>
      </x:c>
      <x:c r="B261" s="56" t="str">
        <x:v>8º ano</x:v>
      </x:c>
      <x:c r="C261" s="56" t="str">
        <x:v>MODELO_8_ANO</x:v>
      </x:c>
      <x:c r="D261" s="56" t="str">
        <x:v>GERAL</x:v>
      </x:c>
      <x:c r="E261" s="56" t="str">
        <x:v>Geral (total bruto)</x:v>
      </x:c>
      <x:c r="F261" s="56" t="n">
        <x:v>50</x:v>
      </x:c>
      <x:c r="G261" s="56" t="n">
        <x:v>49</x:v>
      </x:c>
      <x:c r="H261" s="70" t="n">
        <x:f>G261/F261</x:f>
        <x:v>0.98</x:v>
      </x:c>
      <x:c r="I261" s="59" t="n">
        <x:f>'Premissas'!$B$14</x:f>
        <x:v>0</x:v>
      </x:c>
      <x:c r="J261" s="59" t="n">
        <x:f>'Premissas'!$G$12</x:f>
        <x:v>1</x:v>
      </x:c>
      <x:c r="K261" s="57" t="n">
        <x:f>ROUND(MAX('Premissas'!$B$5,L261-N261),1)</x:f>
        <x:v>796.3</x:v>
      </x:c>
      <x:c r="L261" s="57" t="n">
        <x:f>ROUND(MAX('Premissas'!$B$5,MIN('Premissas'!$B$6,'Premissas'!$B$5+('Premissas'!$B$6-'Premissas'!$B$5)*(3*H261^2-2*H261^3)+I261*4*H261*(1-H261))),1)</x:f>
        <x:v>799.3</x:v>
      </x:c>
      <x:c r="M261" s="57" t="n">
        <x:f>ROUND(MIN('Premissas'!$B$6,L261+N261),1)</x:f>
        <x:v>800</x:v>
      </x:c>
      <x:c r="N261" s="57" t="n">
        <x:f>ROUND('Premissas'!$B$7*J261*SQRT(10/F261)*4*H261*(1-H261),1)</x:f>
        <x:v>3</x:v>
      </x:c>
      <x:c r="O261" s="56" t="str">
        <x:v>PROVISÓRIA</x:v>
      </x:c>
    </x:row>
    <x:row r="262">
      <x:c r="A262" s="66" t="str">
        <x:v>Escala comum 7º–9º</x:v>
      </x:c>
      <x:c r="B262" s="66" t="str">
        <x:v>8º ano</x:v>
      </x:c>
      <x:c r="C262" s="66" t="str">
        <x:v>MODELO_8_ANO</x:v>
      </x:c>
      <x:c r="D262" s="66" t="str">
        <x:v>GERAL</x:v>
      </x:c>
      <x:c r="E262" s="66" t="str">
        <x:v>Geral (total bruto)</x:v>
      </x:c>
      <x:c r="F262" s="66" t="n">
        <x:v>50</x:v>
      </x:c>
      <x:c r="G262" s="66" t="n">
        <x:v>50</x:v>
      </x:c>
      <x:c r="H262" s="67" t="n">
        <x:f>G262/F262</x:f>
        <x:v>1</x:v>
      </x:c>
      <x:c r="I262" s="68" t="n">
        <x:f>'Premissas'!$B$14</x:f>
        <x:v>0</x:v>
      </x:c>
      <x:c r="J262" s="68" t="n">
        <x:f>'Premissas'!$G$12</x:f>
        <x:v>1</x:v>
      </x:c>
      <x:c r="K262" s="69" t="n">
        <x:f>ROUND(MAX('Premissas'!$B$5,L262-N262),1)</x:f>
        <x:v>800</x:v>
      </x:c>
      <x:c r="L262" s="69" t="n">
        <x:f>ROUND(MAX('Premissas'!$B$5,MIN('Premissas'!$B$6,'Premissas'!$B$5+('Premissas'!$B$6-'Premissas'!$B$5)*(3*H262^2-2*H262^3)+I262*4*H262*(1-H262))),1)</x:f>
        <x:v>800</x:v>
      </x:c>
      <x:c r="M262" s="69" t="n">
        <x:f>ROUND(MIN('Premissas'!$B$6,L262+N262),1)</x:f>
        <x:v>800</x:v>
      </x:c>
      <x:c r="N262" s="69" t="n">
        <x:f>ROUND('Premissas'!$B$7*J262*SQRT(10/F262)*4*H262*(1-H262),1)</x:f>
        <x:v>0</x:v>
      </x:c>
      <x:c r="O262" s="66" t="str">
        <x:v>PROVISÓRIA</x:v>
      </x:c>
    </x:row>
    <x:row r="263">
      <x:c r="A263" s="56" t="str">
        <x:v>Escala comum 7º–9º</x:v>
      </x:c>
      <x:c r="B263" s="56" t="str">
        <x:v>8º ano</x:v>
      </x:c>
      <x:c r="C263" s="56" t="str">
        <x:v>MODELO_8_ANO</x:v>
      </x:c>
      <x:c r="D263" s="56" t="str">
        <x:v>LC</x:v>
      </x:c>
      <x:c r="E263" s="56" t="str">
        <x:v>Linguagens</x:v>
      </x:c>
      <x:c r="F263" s="56" t="n">
        <x:v>20</x:v>
      </x:c>
      <x:c r="G263" s="56" t="n">
        <x:v>0</x:v>
      </x:c>
      <x:c r="H263" s="70" t="n">
        <x:f>G263/F263</x:f>
        <x:v>0</x:v>
      </x:c>
      <x:c r="I263" s="59" t="n">
        <x:f>'Premissas'!$B$14</x:f>
        <x:v>0</x:v>
      </x:c>
      <x:c r="J263" s="59" t="n">
        <x:f>'Premissas'!$G$13</x:f>
        <x:v>1</x:v>
      </x:c>
      <x:c r="K263" s="57" t="n">
        <x:f>ROUND(MAX('Premissas'!$B$5,L263-N263),1)</x:f>
        <x:v>200</x:v>
      </x:c>
      <x:c r="L263" s="57" t="n">
        <x:f>ROUND(MAX('Premissas'!$B$5,MIN('Premissas'!$B$6,'Premissas'!$B$5+('Premissas'!$B$6-'Premissas'!$B$5)*(3*H263^2-2*H263^3)+I263*4*H263*(1-H263))),1)</x:f>
        <x:v>200</x:v>
      </x:c>
      <x:c r="M263" s="57" t="n">
        <x:f>ROUND(MIN('Premissas'!$B$6,L263+N263),1)</x:f>
        <x:v>200</x:v>
      </x:c>
      <x:c r="N263" s="57" t="n">
        <x:f>ROUND('Premissas'!$B$7*J263*SQRT(10/F263)*4*H263*(1-H263),1)</x:f>
        <x:v>0</x:v>
      </x:c>
      <x:c r="O263" s="56" t="str">
        <x:v>PROVISÓRIA</x:v>
      </x:c>
    </x:row>
    <x:row r="264">
      <x:c r="A264" s="66" t="str">
        <x:v>Escala comum 7º–9º</x:v>
      </x:c>
      <x:c r="B264" s="66" t="str">
        <x:v>8º ano</x:v>
      </x:c>
      <x:c r="C264" s="66" t="str">
        <x:v>MODELO_8_ANO</x:v>
      </x:c>
      <x:c r="D264" s="66" t="str">
        <x:v>LC</x:v>
      </x:c>
      <x:c r="E264" s="66" t="str">
        <x:v>Linguagens</x:v>
      </x:c>
      <x:c r="F264" s="66" t="n">
        <x:v>20</x:v>
      </x:c>
      <x:c r="G264" s="66" t="n">
        <x:v>1</x:v>
      </x:c>
      <x:c r="H264" s="67" t="n">
        <x:f>G264/F264</x:f>
        <x:v>0.05</x:v>
      </x:c>
      <x:c r="I264" s="68" t="n">
        <x:f>'Premissas'!$B$14</x:f>
        <x:v>0</x:v>
      </x:c>
      <x:c r="J264" s="68" t="n">
        <x:f>'Premissas'!$G$13</x:f>
        <x:v>1</x:v>
      </x:c>
      <x:c r="K264" s="69" t="n">
        <x:f>ROUND(MAX('Premissas'!$B$5,L264-N264),1)</x:f>
        <x:v>200</x:v>
      </x:c>
      <x:c r="L264" s="69" t="n">
        <x:f>ROUND(MAX('Premissas'!$B$5,MIN('Premissas'!$B$6,'Premissas'!$B$5+('Premissas'!$B$6-'Premissas'!$B$5)*(3*H264^2-2*H264^3)+I264*4*H264*(1-H264))),1)</x:f>
        <x:v>204.4</x:v>
      </x:c>
      <x:c r="M264" s="69" t="n">
        <x:f>ROUND(MIN('Premissas'!$B$6,L264+N264),1)</x:f>
        <x:v>215.8</x:v>
      </x:c>
      <x:c r="N264" s="69" t="n">
        <x:f>ROUND('Premissas'!$B$7*J264*SQRT(10/F264)*4*H264*(1-H264),1)</x:f>
        <x:v>11.4</x:v>
      </x:c>
      <x:c r="O264" s="66" t="str">
        <x:v>PROVISÓRIA</x:v>
      </x:c>
    </x:row>
    <x:row r="265">
      <x:c r="A265" s="56" t="str">
        <x:v>Escala comum 7º–9º</x:v>
      </x:c>
      <x:c r="B265" s="56" t="str">
        <x:v>8º ano</x:v>
      </x:c>
      <x:c r="C265" s="56" t="str">
        <x:v>MODELO_8_ANO</x:v>
      </x:c>
      <x:c r="D265" s="56" t="str">
        <x:v>LC</x:v>
      </x:c>
      <x:c r="E265" s="56" t="str">
        <x:v>Linguagens</x:v>
      </x:c>
      <x:c r="F265" s="56" t="n">
        <x:v>20</x:v>
      </x:c>
      <x:c r="G265" s="56" t="n">
        <x:v>2</x:v>
      </x:c>
      <x:c r="H265" s="70" t="n">
        <x:f>G265/F265</x:f>
        <x:v>0.1</x:v>
      </x:c>
      <x:c r="I265" s="59" t="n">
        <x:f>'Premissas'!$B$14</x:f>
        <x:v>0</x:v>
      </x:c>
      <x:c r="J265" s="59" t="n">
        <x:f>'Premissas'!$G$13</x:f>
        <x:v>1</x:v>
      </x:c>
      <x:c r="K265" s="57" t="n">
        <x:f>ROUND(MAX('Premissas'!$B$5,L265-N265),1)</x:f>
        <x:v>200</x:v>
      </x:c>
      <x:c r="L265" s="57" t="n">
        <x:f>ROUND(MAX('Premissas'!$B$5,MIN('Premissas'!$B$6,'Premissas'!$B$5+('Premissas'!$B$6-'Premissas'!$B$5)*(3*H265^2-2*H265^3)+I265*4*H265*(1-H265))),1)</x:f>
        <x:v>216.8</x:v>
      </x:c>
      <x:c r="M265" s="57" t="n">
        <x:f>ROUND(MIN('Premissas'!$B$6,L265+N265),1)</x:f>
        <x:v>238.4</x:v>
      </x:c>
      <x:c r="N265" s="57" t="n">
        <x:f>ROUND('Premissas'!$B$7*J265*SQRT(10/F265)*4*H265*(1-H265),1)</x:f>
        <x:v>21.6</x:v>
      </x:c>
      <x:c r="O265" s="56" t="str">
        <x:v>PROVISÓRIA</x:v>
      </x:c>
    </x:row>
    <x:row r="266">
      <x:c r="A266" s="66" t="str">
        <x:v>Escala comum 7º–9º</x:v>
      </x:c>
      <x:c r="B266" s="66" t="str">
        <x:v>8º ano</x:v>
      </x:c>
      <x:c r="C266" s="66" t="str">
        <x:v>MODELO_8_ANO</x:v>
      </x:c>
      <x:c r="D266" s="66" t="str">
        <x:v>LC</x:v>
      </x:c>
      <x:c r="E266" s="66" t="str">
        <x:v>Linguagens</x:v>
      </x:c>
      <x:c r="F266" s="66" t="n">
        <x:v>20</x:v>
      </x:c>
      <x:c r="G266" s="66" t="n">
        <x:v>3</x:v>
      </x:c>
      <x:c r="H266" s="67" t="n">
        <x:f>G266/F266</x:f>
        <x:v>0.15</x:v>
      </x:c>
      <x:c r="I266" s="68" t="n">
        <x:f>'Premissas'!$B$14</x:f>
        <x:v>0</x:v>
      </x:c>
      <x:c r="J266" s="68" t="n">
        <x:f>'Premissas'!$G$13</x:f>
        <x:v>1</x:v>
      </x:c>
      <x:c r="K266" s="69" t="n">
        <x:f>ROUND(MAX('Premissas'!$B$5,L266-N266),1)</x:f>
        <x:v>205.8</x:v>
      </x:c>
      <x:c r="L266" s="69" t="n">
        <x:f>ROUND(MAX('Premissas'!$B$5,MIN('Premissas'!$B$6,'Premissas'!$B$5+('Premissas'!$B$6-'Premissas'!$B$5)*(3*H266^2-2*H266^3)+I266*4*H266*(1-H266))),1)</x:f>
        <x:v>236.5</x:v>
      </x:c>
      <x:c r="M266" s="69" t="n">
        <x:f>ROUND(MIN('Premissas'!$B$6,L266+N266),1)</x:f>
        <x:v>267.2</x:v>
      </x:c>
      <x:c r="N266" s="69" t="n">
        <x:f>ROUND('Premissas'!$B$7*J266*SQRT(10/F266)*4*H266*(1-H266),1)</x:f>
        <x:v>30.7</x:v>
      </x:c>
      <x:c r="O266" s="66" t="str">
        <x:v>PROVISÓRIA</x:v>
      </x:c>
    </x:row>
    <x:row r="267">
      <x:c r="A267" s="56" t="str">
        <x:v>Escala comum 7º–9º</x:v>
      </x:c>
      <x:c r="B267" s="56" t="str">
        <x:v>8º ano</x:v>
      </x:c>
      <x:c r="C267" s="56" t="str">
        <x:v>MODELO_8_ANO</x:v>
      </x:c>
      <x:c r="D267" s="56" t="str">
        <x:v>LC</x:v>
      </x:c>
      <x:c r="E267" s="56" t="str">
        <x:v>Linguagens</x:v>
      </x:c>
      <x:c r="F267" s="56" t="n">
        <x:v>20</x:v>
      </x:c>
      <x:c r="G267" s="56" t="n">
        <x:v>4</x:v>
      </x:c>
      <x:c r="H267" s="70" t="n">
        <x:f>G267/F267</x:f>
        <x:v>0.2</x:v>
      </x:c>
      <x:c r="I267" s="59" t="n">
        <x:f>'Premissas'!$B$14</x:f>
        <x:v>0</x:v>
      </x:c>
      <x:c r="J267" s="59" t="n">
        <x:f>'Premissas'!$G$13</x:f>
        <x:v>1</x:v>
      </x:c>
      <x:c r="K267" s="57" t="n">
        <x:f>ROUND(MAX('Premissas'!$B$5,L267-N267),1)</x:f>
        <x:v>223.9</x:v>
      </x:c>
      <x:c r="L267" s="57" t="n">
        <x:f>ROUND(MAX('Premissas'!$B$5,MIN('Premissas'!$B$6,'Premissas'!$B$5+('Premissas'!$B$6-'Premissas'!$B$5)*(3*H267^2-2*H267^3)+I267*4*H267*(1-H267))),1)</x:f>
        <x:v>262.4</x:v>
      </x:c>
      <x:c r="M267" s="57" t="n">
        <x:f>ROUND(MIN('Premissas'!$B$6,L267+N267),1)</x:f>
        <x:v>300.9</x:v>
      </x:c>
      <x:c r="N267" s="57" t="n">
        <x:f>ROUND('Premissas'!$B$7*J267*SQRT(10/F267)*4*H267*(1-H267),1)</x:f>
        <x:v>38.5</x:v>
      </x:c>
      <x:c r="O267" s="56" t="str">
        <x:v>PROVISÓRIA</x:v>
      </x:c>
    </x:row>
    <x:row r="268">
      <x:c r="A268" s="66" t="str">
        <x:v>Escala comum 7º–9º</x:v>
      </x:c>
      <x:c r="B268" s="66" t="str">
        <x:v>8º ano</x:v>
      </x:c>
      <x:c r="C268" s="66" t="str">
        <x:v>MODELO_8_ANO</x:v>
      </x:c>
      <x:c r="D268" s="66" t="str">
        <x:v>LC</x:v>
      </x:c>
      <x:c r="E268" s="66" t="str">
        <x:v>Linguagens</x:v>
      </x:c>
      <x:c r="F268" s="66" t="n">
        <x:v>20</x:v>
      </x:c>
      <x:c r="G268" s="66" t="n">
        <x:v>5</x:v>
      </x:c>
      <x:c r="H268" s="67" t="n">
        <x:f>G268/F268</x:f>
        <x:v>0.25</x:v>
      </x:c>
      <x:c r="I268" s="68" t="n">
        <x:f>'Premissas'!$B$14</x:f>
        <x:v>0</x:v>
      </x:c>
      <x:c r="J268" s="68" t="n">
        <x:f>'Premissas'!$G$13</x:f>
        <x:v>1</x:v>
      </x:c>
      <x:c r="K268" s="69" t="n">
        <x:f>ROUND(MAX('Premissas'!$B$5,L268-N268),1)</x:f>
        <x:v>248.7</x:v>
      </x:c>
      <x:c r="L268" s="69" t="n">
        <x:f>ROUND(MAX('Premissas'!$B$5,MIN('Premissas'!$B$6,'Premissas'!$B$5+('Premissas'!$B$6-'Premissas'!$B$5)*(3*H268^2-2*H268^3)+I268*4*H268*(1-H268))),1)</x:f>
        <x:v>293.8</x:v>
      </x:c>
      <x:c r="M268" s="69" t="n">
        <x:f>ROUND(MIN('Premissas'!$B$6,L268+N268),1)</x:f>
        <x:v>338.9</x:v>
      </x:c>
      <x:c r="N268" s="69" t="n">
        <x:f>ROUND('Premissas'!$B$7*J268*SQRT(10/F268)*4*H268*(1-H268),1)</x:f>
        <x:v>45.1</x:v>
      </x:c>
      <x:c r="O268" s="66" t="str">
        <x:v>PROVISÓRIA</x:v>
      </x:c>
    </x:row>
    <x:row r="269">
      <x:c r="A269" s="56" t="str">
        <x:v>Escala comum 7º–9º</x:v>
      </x:c>
      <x:c r="B269" s="56" t="str">
        <x:v>8º ano</x:v>
      </x:c>
      <x:c r="C269" s="56" t="str">
        <x:v>MODELO_8_ANO</x:v>
      </x:c>
      <x:c r="D269" s="56" t="str">
        <x:v>LC</x:v>
      </x:c>
      <x:c r="E269" s="56" t="str">
        <x:v>Linguagens</x:v>
      </x:c>
      <x:c r="F269" s="56" t="n">
        <x:v>20</x:v>
      </x:c>
      <x:c r="G269" s="56" t="n">
        <x:v>6</x:v>
      </x:c>
      <x:c r="H269" s="70" t="n">
        <x:f>G269/F269</x:f>
        <x:v>0.3</x:v>
      </x:c>
      <x:c r="I269" s="59" t="n">
        <x:f>'Premissas'!$B$14</x:f>
        <x:v>0</x:v>
      </x:c>
      <x:c r="J269" s="59" t="n">
        <x:f>'Premissas'!$G$13</x:f>
        <x:v>1</x:v>
      </x:c>
      <x:c r="K269" s="57" t="n">
        <x:f>ROUND(MAX('Premissas'!$B$5,L269-N269),1)</x:f>
        <x:v>279.1</x:v>
      </x:c>
      <x:c r="L269" s="57" t="n">
        <x:f>ROUND(MAX('Premissas'!$B$5,MIN('Premissas'!$B$6,'Premissas'!$B$5+('Premissas'!$B$6-'Premissas'!$B$5)*(3*H269^2-2*H269^3)+I269*4*H269*(1-H269))),1)</x:f>
        <x:v>329.6</x:v>
      </x:c>
      <x:c r="M269" s="57" t="n">
        <x:f>ROUND(MIN('Premissas'!$B$6,L269+N269),1)</x:f>
        <x:v>380.1</x:v>
      </x:c>
      <x:c r="N269" s="57" t="n">
        <x:f>ROUND('Premissas'!$B$7*J269*SQRT(10/F269)*4*H269*(1-H269),1)</x:f>
        <x:v>50.5</x:v>
      </x:c>
      <x:c r="O269" s="56" t="str">
        <x:v>PROVISÓRIA</x:v>
      </x:c>
    </x:row>
    <x:row r="270">
      <x:c r="A270" s="66" t="str">
        <x:v>Escala comum 7º–9º</x:v>
      </x:c>
      <x:c r="B270" s="66" t="str">
        <x:v>8º ano</x:v>
      </x:c>
      <x:c r="C270" s="66" t="str">
        <x:v>MODELO_8_ANO</x:v>
      </x:c>
      <x:c r="D270" s="66" t="str">
        <x:v>LC</x:v>
      </x:c>
      <x:c r="E270" s="66" t="str">
        <x:v>Linguagens</x:v>
      </x:c>
      <x:c r="F270" s="66" t="n">
        <x:v>20</x:v>
      </x:c>
      <x:c r="G270" s="66" t="n">
        <x:v>7</x:v>
      </x:c>
      <x:c r="H270" s="67" t="n">
        <x:f>G270/F270</x:f>
        <x:v>0.35</x:v>
      </x:c>
      <x:c r="I270" s="68" t="n">
        <x:f>'Premissas'!$B$14</x:f>
        <x:v>0</x:v>
      </x:c>
      <x:c r="J270" s="68" t="n">
        <x:f>'Premissas'!$G$13</x:f>
        <x:v>1</x:v>
      </x:c>
      <x:c r="K270" s="69" t="n">
        <x:f>ROUND(MAX('Premissas'!$B$5,L270-N270),1)</x:f>
        <x:v>314.3</x:v>
      </x:c>
      <x:c r="L270" s="69" t="n">
        <x:f>ROUND(MAX('Premissas'!$B$5,MIN('Premissas'!$B$6,'Premissas'!$B$5+('Premissas'!$B$6-'Premissas'!$B$5)*(3*H270^2-2*H270^3)+I270*4*H270*(1-H270))),1)</x:f>
        <x:v>369</x:v>
      </x:c>
      <x:c r="M270" s="69" t="n">
        <x:f>ROUND(MIN('Premissas'!$B$6,L270+N270),1)</x:f>
        <x:v>423.7</x:v>
      </x:c>
      <x:c r="N270" s="69" t="n">
        <x:f>ROUND('Premissas'!$B$7*J270*SQRT(10/F270)*4*H270*(1-H270),1)</x:f>
        <x:v>54.7</x:v>
      </x:c>
      <x:c r="O270" s="66" t="str">
        <x:v>PROVISÓRIA</x:v>
      </x:c>
    </x:row>
    <x:row r="271">
      <x:c r="A271" s="56" t="str">
        <x:v>Escala comum 7º–9º</x:v>
      </x:c>
      <x:c r="B271" s="56" t="str">
        <x:v>8º ano</x:v>
      </x:c>
      <x:c r="C271" s="56" t="str">
        <x:v>MODELO_8_ANO</x:v>
      </x:c>
      <x:c r="D271" s="56" t="str">
        <x:v>LC</x:v>
      </x:c>
      <x:c r="E271" s="56" t="str">
        <x:v>Linguagens</x:v>
      </x:c>
      <x:c r="F271" s="56" t="n">
        <x:v>20</x:v>
      </x:c>
      <x:c r="G271" s="56" t="n">
        <x:v>8</x:v>
      </x:c>
      <x:c r="H271" s="70" t="n">
        <x:f>G271/F271</x:f>
        <x:v>0.4</x:v>
      </x:c>
      <x:c r="I271" s="59" t="n">
        <x:f>'Premissas'!$B$14</x:f>
        <x:v>0</x:v>
      </x:c>
      <x:c r="J271" s="59" t="n">
        <x:f>'Premissas'!$G$13</x:f>
        <x:v>1</x:v>
      </x:c>
      <x:c r="K271" s="57" t="n">
        <x:f>ROUND(MAX('Premissas'!$B$5,L271-N271),1)</x:f>
        <x:v>353.5</x:v>
      </x:c>
      <x:c r="L271" s="57" t="n">
        <x:f>ROUND(MAX('Premissas'!$B$5,MIN('Premissas'!$B$6,'Premissas'!$B$5+('Premissas'!$B$6-'Premissas'!$B$5)*(3*H271^2-2*H271^3)+I271*4*H271*(1-H271))),1)</x:f>
        <x:v>411.2</x:v>
      </x:c>
      <x:c r="M271" s="57" t="n">
        <x:f>ROUND(MIN('Premissas'!$B$6,L271+N271),1)</x:f>
        <x:v>468.9</x:v>
      </x:c>
      <x:c r="N271" s="57" t="n">
        <x:f>ROUND('Premissas'!$B$7*J271*SQRT(10/F271)*4*H271*(1-H271),1)</x:f>
        <x:v>57.7</x:v>
      </x:c>
      <x:c r="O271" s="56" t="str">
        <x:v>PROVISÓRIA</x:v>
      </x:c>
    </x:row>
    <x:row r="272">
      <x:c r="A272" s="66" t="str">
        <x:v>Escala comum 7º–9º</x:v>
      </x:c>
      <x:c r="B272" s="66" t="str">
        <x:v>8º ano</x:v>
      </x:c>
      <x:c r="C272" s="66" t="str">
        <x:v>MODELO_8_ANO</x:v>
      </x:c>
      <x:c r="D272" s="66" t="str">
        <x:v>LC</x:v>
      </x:c>
      <x:c r="E272" s="66" t="str">
        <x:v>Linguagens</x:v>
      </x:c>
      <x:c r="F272" s="66" t="n">
        <x:v>20</x:v>
      </x:c>
      <x:c r="G272" s="66" t="n">
        <x:v>9</x:v>
      </x:c>
      <x:c r="H272" s="67" t="n">
        <x:f>G272/F272</x:f>
        <x:v>0.45</x:v>
      </x:c>
      <x:c r="I272" s="68" t="n">
        <x:f>'Premissas'!$B$14</x:f>
        <x:v>0</x:v>
      </x:c>
      <x:c r="J272" s="68" t="n">
        <x:f>'Premissas'!$G$13</x:f>
        <x:v>1</x:v>
      </x:c>
      <x:c r="K272" s="69" t="n">
        <x:f>ROUND(MAX('Premissas'!$B$5,L272-N272),1)</x:f>
        <x:v>395.7</x:v>
      </x:c>
      <x:c r="L272" s="69" t="n">
        <x:f>ROUND(MAX('Premissas'!$B$5,MIN('Premissas'!$B$6,'Premissas'!$B$5+('Premissas'!$B$6-'Premissas'!$B$5)*(3*H272^2-2*H272^3)+I272*4*H272*(1-H272))),1)</x:f>
        <x:v>455.2</x:v>
      </x:c>
      <x:c r="M272" s="69" t="n">
        <x:f>ROUND(MIN('Premissas'!$B$6,L272+N272),1)</x:f>
        <x:v>514.7</x:v>
      </x:c>
      <x:c r="N272" s="69" t="n">
        <x:f>ROUND('Premissas'!$B$7*J272*SQRT(10/F272)*4*H272*(1-H272),1)</x:f>
        <x:v>59.5</x:v>
      </x:c>
      <x:c r="O272" s="66" t="str">
        <x:v>PROVISÓRIA</x:v>
      </x:c>
    </x:row>
    <x:row r="273">
      <x:c r="A273" s="56" t="str">
        <x:v>Escala comum 7º–9º</x:v>
      </x:c>
      <x:c r="B273" s="56" t="str">
        <x:v>8º ano</x:v>
      </x:c>
      <x:c r="C273" s="56" t="str">
        <x:v>MODELO_8_ANO</x:v>
      </x:c>
      <x:c r="D273" s="56" t="str">
        <x:v>LC</x:v>
      </x:c>
      <x:c r="E273" s="56" t="str">
        <x:v>Linguagens</x:v>
      </x:c>
      <x:c r="F273" s="56" t="n">
        <x:v>20</x:v>
      </x:c>
      <x:c r="G273" s="56" t="n">
        <x:v>10</x:v>
      </x:c>
      <x:c r="H273" s="70" t="n">
        <x:f>G273/F273</x:f>
        <x:v>0.5</x:v>
      </x:c>
      <x:c r="I273" s="59" t="n">
        <x:f>'Premissas'!$B$14</x:f>
        <x:v>0</x:v>
      </x:c>
      <x:c r="J273" s="59" t="n">
        <x:f>'Premissas'!$G$13</x:f>
        <x:v>1</x:v>
      </x:c>
      <x:c r="K273" s="57" t="n">
        <x:f>ROUND(MAX('Premissas'!$B$5,L273-N273),1)</x:f>
        <x:v>439.9</x:v>
      </x:c>
      <x:c r="L273" s="57" t="n">
        <x:f>ROUND(MAX('Premissas'!$B$5,MIN('Premissas'!$B$6,'Premissas'!$B$5+('Premissas'!$B$6-'Premissas'!$B$5)*(3*H273^2-2*H273^3)+I273*4*H273*(1-H273))),1)</x:f>
        <x:v>500</x:v>
      </x:c>
      <x:c r="M273" s="57" t="n">
        <x:f>ROUND(MIN('Premissas'!$B$6,L273+N273),1)</x:f>
        <x:v>560.1</x:v>
      </x:c>
      <x:c r="N273" s="57" t="n">
        <x:f>ROUND('Premissas'!$B$7*J273*SQRT(10/F273)*4*H273*(1-H273),1)</x:f>
        <x:v>60.1</x:v>
      </x:c>
      <x:c r="O273" s="56" t="str">
        <x:v>PROVISÓRIA</x:v>
      </x:c>
    </x:row>
    <x:row r="274">
      <x:c r="A274" s="66" t="str">
        <x:v>Escala comum 7º–9º</x:v>
      </x:c>
      <x:c r="B274" s="66" t="str">
        <x:v>8º ano</x:v>
      </x:c>
      <x:c r="C274" s="66" t="str">
        <x:v>MODELO_8_ANO</x:v>
      </x:c>
      <x:c r="D274" s="66" t="str">
        <x:v>LC</x:v>
      </x:c>
      <x:c r="E274" s="66" t="str">
        <x:v>Linguagens</x:v>
      </x:c>
      <x:c r="F274" s="66" t="n">
        <x:v>20</x:v>
      </x:c>
      <x:c r="G274" s="66" t="n">
        <x:v>11</x:v>
      </x:c>
      <x:c r="H274" s="67" t="n">
        <x:f>G274/F274</x:f>
        <x:v>0.55</x:v>
      </x:c>
      <x:c r="I274" s="68" t="n">
        <x:f>'Premissas'!$B$14</x:f>
        <x:v>0</x:v>
      </x:c>
      <x:c r="J274" s="68" t="n">
        <x:f>'Premissas'!$G$13</x:f>
        <x:v>1</x:v>
      </x:c>
      <x:c r="K274" s="69" t="n">
        <x:f>ROUND(MAX('Premissas'!$B$5,L274-N274),1)</x:f>
        <x:v>485.4</x:v>
      </x:c>
      <x:c r="L274" s="69" t="n">
        <x:f>ROUND(MAX('Premissas'!$B$5,MIN('Premissas'!$B$6,'Premissas'!$B$5+('Premissas'!$B$6-'Premissas'!$B$5)*(3*H274^2-2*H274^3)+I274*4*H274*(1-H274))),1)</x:f>
        <x:v>544.9</x:v>
      </x:c>
      <x:c r="M274" s="69" t="n">
        <x:f>ROUND(MIN('Premissas'!$B$6,L274+N274),1)</x:f>
        <x:v>604.4</x:v>
      </x:c>
      <x:c r="N274" s="69" t="n">
        <x:f>ROUND('Premissas'!$B$7*J274*SQRT(10/F274)*4*H274*(1-H274),1)</x:f>
        <x:v>59.5</x:v>
      </x:c>
      <x:c r="O274" s="66" t="str">
        <x:v>PROVISÓRIA</x:v>
      </x:c>
    </x:row>
    <x:row r="275">
      <x:c r="A275" s="56" t="str">
        <x:v>Escala comum 7º–9º</x:v>
      </x:c>
      <x:c r="B275" s="56" t="str">
        <x:v>8º ano</x:v>
      </x:c>
      <x:c r="C275" s="56" t="str">
        <x:v>MODELO_8_ANO</x:v>
      </x:c>
      <x:c r="D275" s="56" t="str">
        <x:v>LC</x:v>
      </x:c>
      <x:c r="E275" s="56" t="str">
        <x:v>Linguagens</x:v>
      </x:c>
      <x:c r="F275" s="56" t="n">
        <x:v>20</x:v>
      </x:c>
      <x:c r="G275" s="56" t="n">
        <x:v>12</x:v>
      </x:c>
      <x:c r="H275" s="70" t="n">
        <x:f>G275/F275</x:f>
        <x:v>0.6</x:v>
      </x:c>
      <x:c r="I275" s="59" t="n">
        <x:f>'Premissas'!$B$14</x:f>
        <x:v>0</x:v>
      </x:c>
      <x:c r="J275" s="59" t="n">
        <x:f>'Premissas'!$G$13</x:f>
        <x:v>1</x:v>
      </x:c>
      <x:c r="K275" s="57" t="n">
        <x:f>ROUND(MAX('Premissas'!$B$5,L275-N275),1)</x:f>
        <x:v>531.1</x:v>
      </x:c>
      <x:c r="L275" s="57" t="n">
        <x:f>ROUND(MAX('Premissas'!$B$5,MIN('Premissas'!$B$6,'Premissas'!$B$5+('Premissas'!$B$6-'Premissas'!$B$5)*(3*H275^2-2*H275^3)+I275*4*H275*(1-H275))),1)</x:f>
        <x:v>588.8</x:v>
      </x:c>
      <x:c r="M275" s="57" t="n">
        <x:f>ROUND(MIN('Premissas'!$B$6,L275+N275),1)</x:f>
        <x:v>646.5</x:v>
      </x:c>
      <x:c r="N275" s="57" t="n">
        <x:f>ROUND('Premissas'!$B$7*J275*SQRT(10/F275)*4*H275*(1-H275),1)</x:f>
        <x:v>57.7</x:v>
      </x:c>
      <x:c r="O275" s="56" t="str">
        <x:v>PROVISÓRIA</x:v>
      </x:c>
    </x:row>
    <x:row r="276">
      <x:c r="A276" s="66" t="str">
        <x:v>Escala comum 7º–9º</x:v>
      </x:c>
      <x:c r="B276" s="66" t="str">
        <x:v>8º ano</x:v>
      </x:c>
      <x:c r="C276" s="66" t="str">
        <x:v>MODELO_8_ANO</x:v>
      </x:c>
      <x:c r="D276" s="66" t="str">
        <x:v>LC</x:v>
      </x:c>
      <x:c r="E276" s="66" t="str">
        <x:v>Linguagens</x:v>
      </x:c>
      <x:c r="F276" s="66" t="n">
        <x:v>20</x:v>
      </x:c>
      <x:c r="G276" s="66" t="n">
        <x:v>13</x:v>
      </x:c>
      <x:c r="H276" s="67" t="n">
        <x:f>G276/F276</x:f>
        <x:v>0.65</x:v>
      </x:c>
      <x:c r="I276" s="68" t="n">
        <x:f>'Premissas'!$B$14</x:f>
        <x:v>0</x:v>
      </x:c>
      <x:c r="J276" s="68" t="n">
        <x:f>'Premissas'!$G$13</x:f>
        <x:v>1</x:v>
      </x:c>
      <x:c r="K276" s="69" t="n">
        <x:f>ROUND(MAX('Premissas'!$B$5,L276-N276),1)</x:f>
        <x:v>576.3</x:v>
      </x:c>
      <x:c r="L276" s="69" t="n">
        <x:f>ROUND(MAX('Premissas'!$B$5,MIN('Premissas'!$B$6,'Premissas'!$B$5+('Premissas'!$B$6-'Premissas'!$B$5)*(3*H276^2-2*H276^3)+I276*4*H276*(1-H276))),1)</x:f>
        <x:v>631</x:v>
      </x:c>
      <x:c r="M276" s="69" t="n">
        <x:f>ROUND(MIN('Premissas'!$B$6,L276+N276),1)</x:f>
        <x:v>685.7</x:v>
      </x:c>
      <x:c r="N276" s="69" t="n">
        <x:f>ROUND('Premissas'!$B$7*J276*SQRT(10/F276)*4*H276*(1-H276),1)</x:f>
        <x:v>54.7</x:v>
      </x:c>
      <x:c r="O276" s="66" t="str">
        <x:v>PROVISÓRIA</x:v>
      </x:c>
    </x:row>
    <x:row r="277">
      <x:c r="A277" s="56" t="str">
        <x:v>Escala comum 7º–9º</x:v>
      </x:c>
      <x:c r="B277" s="56" t="str">
        <x:v>8º ano</x:v>
      </x:c>
      <x:c r="C277" s="56" t="str">
        <x:v>MODELO_8_ANO</x:v>
      </x:c>
      <x:c r="D277" s="56" t="str">
        <x:v>LC</x:v>
      </x:c>
      <x:c r="E277" s="56" t="str">
        <x:v>Linguagens</x:v>
      </x:c>
      <x:c r="F277" s="56" t="n">
        <x:v>20</x:v>
      </x:c>
      <x:c r="G277" s="56" t="n">
        <x:v>14</x:v>
      </x:c>
      <x:c r="H277" s="70" t="n">
        <x:f>G277/F277</x:f>
        <x:v>0.7</x:v>
      </x:c>
      <x:c r="I277" s="59" t="n">
        <x:f>'Premissas'!$B$14</x:f>
        <x:v>0</x:v>
      </x:c>
      <x:c r="J277" s="59" t="n">
        <x:f>'Premissas'!$G$13</x:f>
        <x:v>1</x:v>
      </x:c>
      <x:c r="K277" s="57" t="n">
        <x:f>ROUND(MAX('Premissas'!$B$5,L277-N277),1)</x:f>
        <x:v>619.9</x:v>
      </x:c>
      <x:c r="L277" s="57" t="n">
        <x:f>ROUND(MAX('Premissas'!$B$5,MIN('Premissas'!$B$6,'Premissas'!$B$5+('Premissas'!$B$6-'Premissas'!$B$5)*(3*H277^2-2*H277^3)+I277*4*H277*(1-H277))),1)</x:f>
        <x:v>670.4</x:v>
      </x:c>
      <x:c r="M277" s="57" t="n">
        <x:f>ROUND(MIN('Premissas'!$B$6,L277+N277),1)</x:f>
        <x:v>720.9</x:v>
      </x:c>
      <x:c r="N277" s="57" t="n">
        <x:f>ROUND('Premissas'!$B$7*J277*SQRT(10/F277)*4*H277*(1-H277),1)</x:f>
        <x:v>50.5</x:v>
      </x:c>
      <x:c r="O277" s="56" t="str">
        <x:v>PROVISÓRIA</x:v>
      </x:c>
    </x:row>
    <x:row r="278">
      <x:c r="A278" s="66" t="str">
        <x:v>Escala comum 7º–9º</x:v>
      </x:c>
      <x:c r="B278" s="66" t="str">
        <x:v>8º ano</x:v>
      </x:c>
      <x:c r="C278" s="66" t="str">
        <x:v>MODELO_8_ANO</x:v>
      </x:c>
      <x:c r="D278" s="66" t="str">
        <x:v>LC</x:v>
      </x:c>
      <x:c r="E278" s="66" t="str">
        <x:v>Linguagens</x:v>
      </x:c>
      <x:c r="F278" s="66" t="n">
        <x:v>20</x:v>
      </x:c>
      <x:c r="G278" s="66" t="n">
        <x:v>15</x:v>
      </x:c>
      <x:c r="H278" s="67" t="n">
        <x:f>G278/F278</x:f>
        <x:v>0.75</x:v>
      </x:c>
      <x:c r="I278" s="68" t="n">
        <x:f>'Premissas'!$B$14</x:f>
        <x:v>0</x:v>
      </x:c>
      <x:c r="J278" s="68" t="n">
        <x:f>'Premissas'!$G$13</x:f>
        <x:v>1</x:v>
      </x:c>
      <x:c r="K278" s="69" t="n">
        <x:f>ROUND(MAX('Premissas'!$B$5,L278-N278),1)</x:f>
        <x:v>661.2</x:v>
      </x:c>
      <x:c r="L278" s="69" t="n">
        <x:f>ROUND(MAX('Premissas'!$B$5,MIN('Premissas'!$B$6,'Premissas'!$B$5+('Premissas'!$B$6-'Premissas'!$B$5)*(3*H278^2-2*H278^3)+I278*4*H278*(1-H278))),1)</x:f>
        <x:v>706.3</x:v>
      </x:c>
      <x:c r="M278" s="69" t="n">
        <x:f>ROUND(MIN('Premissas'!$B$6,L278+N278),1)</x:f>
        <x:v>751.4</x:v>
      </x:c>
      <x:c r="N278" s="69" t="n">
        <x:f>ROUND('Premissas'!$B$7*J278*SQRT(10/F278)*4*H278*(1-H278),1)</x:f>
        <x:v>45.1</x:v>
      </x:c>
      <x:c r="O278" s="66" t="str">
        <x:v>PROVISÓRIA</x:v>
      </x:c>
    </x:row>
    <x:row r="279">
      <x:c r="A279" s="56" t="str">
        <x:v>Escala comum 7º–9º</x:v>
      </x:c>
      <x:c r="B279" s="56" t="str">
        <x:v>8º ano</x:v>
      </x:c>
      <x:c r="C279" s="56" t="str">
        <x:v>MODELO_8_ANO</x:v>
      </x:c>
      <x:c r="D279" s="56" t="str">
        <x:v>LC</x:v>
      </x:c>
      <x:c r="E279" s="56" t="str">
        <x:v>Linguagens</x:v>
      </x:c>
      <x:c r="F279" s="56" t="n">
        <x:v>20</x:v>
      </x:c>
      <x:c r="G279" s="56" t="n">
        <x:v>16</x:v>
      </x:c>
      <x:c r="H279" s="70" t="n">
        <x:f>G279/F279</x:f>
        <x:v>0.8</x:v>
      </x:c>
      <x:c r="I279" s="59" t="n">
        <x:f>'Premissas'!$B$14</x:f>
        <x:v>0</x:v>
      </x:c>
      <x:c r="J279" s="59" t="n">
        <x:f>'Premissas'!$G$13</x:f>
        <x:v>1</x:v>
      </x:c>
      <x:c r="K279" s="57" t="n">
        <x:f>ROUND(MAX('Premissas'!$B$5,L279-N279),1)</x:f>
        <x:v>699.1</x:v>
      </x:c>
      <x:c r="L279" s="57" t="n">
        <x:f>ROUND(MAX('Premissas'!$B$5,MIN('Premissas'!$B$6,'Premissas'!$B$5+('Premissas'!$B$6-'Premissas'!$B$5)*(3*H279^2-2*H279^3)+I279*4*H279*(1-H279))),1)</x:f>
        <x:v>737.6</x:v>
      </x:c>
      <x:c r="M279" s="57" t="n">
        <x:f>ROUND(MIN('Premissas'!$B$6,L279+N279),1)</x:f>
        <x:v>776.1</x:v>
      </x:c>
      <x:c r="N279" s="57" t="n">
        <x:f>ROUND('Premissas'!$B$7*J279*SQRT(10/F279)*4*H279*(1-H279),1)</x:f>
        <x:v>38.5</x:v>
      </x:c>
      <x:c r="O279" s="56" t="str">
        <x:v>PROVISÓRIA</x:v>
      </x:c>
    </x:row>
    <x:row r="280">
      <x:c r="A280" s="66" t="str">
        <x:v>Escala comum 7º–9º</x:v>
      </x:c>
      <x:c r="B280" s="66" t="str">
        <x:v>8º ano</x:v>
      </x:c>
      <x:c r="C280" s="66" t="str">
        <x:v>MODELO_8_ANO</x:v>
      </x:c>
      <x:c r="D280" s="66" t="str">
        <x:v>LC</x:v>
      </x:c>
      <x:c r="E280" s="66" t="str">
        <x:v>Linguagens</x:v>
      </x:c>
      <x:c r="F280" s="66" t="n">
        <x:v>20</x:v>
      </x:c>
      <x:c r="G280" s="66" t="n">
        <x:v>17</x:v>
      </x:c>
      <x:c r="H280" s="67" t="n">
        <x:f>G280/F280</x:f>
        <x:v>0.85</x:v>
      </x:c>
      <x:c r="I280" s="68" t="n">
        <x:f>'Premissas'!$B$14</x:f>
        <x:v>0</x:v>
      </x:c>
      <x:c r="J280" s="68" t="n">
        <x:f>'Premissas'!$G$13</x:f>
        <x:v>1</x:v>
      </x:c>
      <x:c r="K280" s="69" t="n">
        <x:f>ROUND(MAX('Premissas'!$B$5,L280-N280),1)</x:f>
        <x:v>732.8</x:v>
      </x:c>
      <x:c r="L280" s="69" t="n">
        <x:f>ROUND(MAX('Premissas'!$B$5,MIN('Premissas'!$B$6,'Premissas'!$B$5+('Premissas'!$B$6-'Premissas'!$B$5)*(3*H280^2-2*H280^3)+I280*4*H280*(1-H280))),1)</x:f>
        <x:v>763.5</x:v>
      </x:c>
      <x:c r="M280" s="69" t="n">
        <x:f>ROUND(MIN('Premissas'!$B$6,L280+N280),1)</x:f>
        <x:v>794.2</x:v>
      </x:c>
      <x:c r="N280" s="69" t="n">
        <x:f>ROUND('Premissas'!$B$7*J280*SQRT(10/F280)*4*H280*(1-H280),1)</x:f>
        <x:v>30.7</x:v>
      </x:c>
      <x:c r="O280" s="66" t="str">
        <x:v>PROVISÓRIA</x:v>
      </x:c>
    </x:row>
    <x:row r="281">
      <x:c r="A281" s="56" t="str">
        <x:v>Escala comum 7º–9º</x:v>
      </x:c>
      <x:c r="B281" s="56" t="str">
        <x:v>8º ano</x:v>
      </x:c>
      <x:c r="C281" s="56" t="str">
        <x:v>MODELO_8_ANO</x:v>
      </x:c>
      <x:c r="D281" s="56" t="str">
        <x:v>LC</x:v>
      </x:c>
      <x:c r="E281" s="56" t="str">
        <x:v>Linguagens</x:v>
      </x:c>
      <x:c r="F281" s="56" t="n">
        <x:v>20</x:v>
      </x:c>
      <x:c r="G281" s="56" t="n">
        <x:v>18</x:v>
      </x:c>
      <x:c r="H281" s="70" t="n">
        <x:f>G281/F281</x:f>
        <x:v>0.9</x:v>
      </x:c>
      <x:c r="I281" s="59" t="n">
        <x:f>'Premissas'!$B$14</x:f>
        <x:v>0</x:v>
      </x:c>
      <x:c r="J281" s="59" t="n">
        <x:f>'Premissas'!$G$13</x:f>
        <x:v>1</x:v>
      </x:c>
      <x:c r="K281" s="57" t="n">
        <x:f>ROUND(MAX('Premissas'!$B$5,L281-N281),1)</x:f>
        <x:v>761.6</x:v>
      </x:c>
      <x:c r="L281" s="57" t="n">
        <x:f>ROUND(MAX('Premissas'!$B$5,MIN('Premissas'!$B$6,'Premissas'!$B$5+('Premissas'!$B$6-'Premissas'!$B$5)*(3*H281^2-2*H281^3)+I281*4*H281*(1-H281))),1)</x:f>
        <x:v>783.2</x:v>
      </x:c>
      <x:c r="M281" s="57" t="n">
        <x:f>ROUND(MIN('Premissas'!$B$6,L281+N281),1)</x:f>
        <x:v>800</x:v>
      </x:c>
      <x:c r="N281" s="57" t="n">
        <x:f>ROUND('Premissas'!$B$7*J281*SQRT(10/F281)*4*H281*(1-H281),1)</x:f>
        <x:v>21.6</x:v>
      </x:c>
      <x:c r="O281" s="56" t="str">
        <x:v>PROVISÓRIA</x:v>
      </x:c>
    </x:row>
    <x:row r="282">
      <x:c r="A282" s="66" t="str">
        <x:v>Escala comum 7º–9º</x:v>
      </x:c>
      <x:c r="B282" s="66" t="str">
        <x:v>8º ano</x:v>
      </x:c>
      <x:c r="C282" s="66" t="str">
        <x:v>MODELO_8_ANO</x:v>
      </x:c>
      <x:c r="D282" s="66" t="str">
        <x:v>LC</x:v>
      </x:c>
      <x:c r="E282" s="66" t="str">
        <x:v>Linguagens</x:v>
      </x:c>
      <x:c r="F282" s="66" t="n">
        <x:v>20</x:v>
      </x:c>
      <x:c r="G282" s="66" t="n">
        <x:v>19</x:v>
      </x:c>
      <x:c r="H282" s="67" t="n">
        <x:f>G282/F282</x:f>
        <x:v>0.95</x:v>
      </x:c>
      <x:c r="I282" s="68" t="n">
        <x:f>'Premissas'!$B$14</x:f>
        <x:v>0</x:v>
      </x:c>
      <x:c r="J282" s="68" t="n">
        <x:f>'Premissas'!$G$13</x:f>
        <x:v>1</x:v>
      </x:c>
      <x:c r="K282" s="69" t="n">
        <x:f>ROUND(MAX('Premissas'!$B$5,L282-N282),1)</x:f>
        <x:v>784.3</x:v>
      </x:c>
      <x:c r="L282" s="69" t="n">
        <x:f>ROUND(MAX('Premissas'!$B$5,MIN('Premissas'!$B$6,'Premissas'!$B$5+('Premissas'!$B$6-'Premissas'!$B$5)*(3*H282^2-2*H282^3)+I282*4*H282*(1-H282))),1)</x:f>
        <x:v>795.7</x:v>
      </x:c>
      <x:c r="M282" s="69" t="n">
        <x:f>ROUND(MIN('Premissas'!$B$6,L282+N282),1)</x:f>
        <x:v>800</x:v>
      </x:c>
      <x:c r="N282" s="69" t="n">
        <x:f>ROUND('Premissas'!$B$7*J282*SQRT(10/F282)*4*H282*(1-H282),1)</x:f>
        <x:v>11.4</x:v>
      </x:c>
      <x:c r="O282" s="66" t="str">
        <x:v>PROVISÓRIA</x:v>
      </x:c>
    </x:row>
    <x:row r="283">
      <x:c r="A283" s="56" t="str">
        <x:v>Escala comum 7º–9º</x:v>
      </x:c>
      <x:c r="B283" s="56" t="str">
        <x:v>8º ano</x:v>
      </x:c>
      <x:c r="C283" s="56" t="str">
        <x:v>MODELO_8_ANO</x:v>
      </x:c>
      <x:c r="D283" s="56" t="str">
        <x:v>LC</x:v>
      </x:c>
      <x:c r="E283" s="56" t="str">
        <x:v>Linguagens</x:v>
      </x:c>
      <x:c r="F283" s="56" t="n">
        <x:v>20</x:v>
      </x:c>
      <x:c r="G283" s="56" t="n">
        <x:v>20</x:v>
      </x:c>
      <x:c r="H283" s="70" t="n">
        <x:f>G283/F283</x:f>
        <x:v>1</x:v>
      </x:c>
      <x:c r="I283" s="59" t="n">
        <x:f>'Premissas'!$B$14</x:f>
        <x:v>0</x:v>
      </x:c>
      <x:c r="J283" s="59" t="n">
        <x:f>'Premissas'!$G$13</x:f>
        <x:v>1</x:v>
      </x:c>
      <x:c r="K283" s="57" t="n">
        <x:f>ROUND(MAX('Premissas'!$B$5,L283-N283),1)</x:f>
        <x:v>800</x:v>
      </x:c>
      <x:c r="L283" s="57" t="n">
        <x:f>ROUND(MAX('Premissas'!$B$5,MIN('Premissas'!$B$6,'Premissas'!$B$5+('Premissas'!$B$6-'Premissas'!$B$5)*(3*H283^2-2*H283^3)+I283*4*H283*(1-H283))),1)</x:f>
        <x:v>800</x:v>
      </x:c>
      <x:c r="M283" s="57" t="n">
        <x:f>ROUND(MIN('Premissas'!$B$6,L283+N283),1)</x:f>
        <x:v>800</x:v>
      </x:c>
      <x:c r="N283" s="57" t="n">
        <x:f>ROUND('Premissas'!$B$7*J283*SQRT(10/F283)*4*H283*(1-H283),1)</x:f>
        <x:v>0</x:v>
      </x:c>
      <x:c r="O283" s="56" t="str">
        <x:v>PROVISÓRIA</x:v>
      </x:c>
    </x:row>
    <x:row r="284">
      <x:c r="A284" s="66" t="str">
        <x:v>Escala comum 7º–9º</x:v>
      </x:c>
      <x:c r="B284" s="66" t="str">
        <x:v>8º ano</x:v>
      </x:c>
      <x:c r="C284" s="66" t="str">
        <x:v>MODELO_8_ANO</x:v>
      </x:c>
      <x:c r="D284" s="66" t="str">
        <x:v>MT</x:v>
      </x:c>
      <x:c r="E284" s="66" t="str">
        <x:v>Matemática</x:v>
      </x:c>
      <x:c r="F284" s="66" t="n">
        <x:v>10</x:v>
      </x:c>
      <x:c r="G284" s="66" t="n">
        <x:v>0</x:v>
      </x:c>
      <x:c r="H284" s="67" t="n">
        <x:f>G284/F284</x:f>
        <x:v>0</x:v>
      </x:c>
      <x:c r="I284" s="68" t="n">
        <x:f>'Premissas'!$B$14</x:f>
        <x:v>0</x:v>
      </x:c>
      <x:c r="J284" s="68" t="n">
        <x:f>'Premissas'!$G$14</x:f>
        <x:v>1</x:v>
      </x:c>
      <x:c r="K284" s="69" t="n">
        <x:f>ROUND(MAX('Premissas'!$B$5,L284-N284),1)</x:f>
        <x:v>200</x:v>
      </x:c>
      <x:c r="L284" s="69" t="n">
        <x:f>ROUND(MAX('Premissas'!$B$5,MIN('Premissas'!$B$6,'Premissas'!$B$5+('Premissas'!$B$6-'Premissas'!$B$5)*(3*H284^2-2*H284^3)+I284*4*H284*(1-H284))),1)</x:f>
        <x:v>200</x:v>
      </x:c>
      <x:c r="M284" s="69" t="n">
        <x:f>ROUND(MIN('Premissas'!$B$6,L284+N284),1)</x:f>
        <x:v>200</x:v>
      </x:c>
      <x:c r="N284" s="69" t="n">
        <x:f>ROUND('Premissas'!$B$7*J284*SQRT(10/F284)*4*H284*(1-H284),1)</x:f>
        <x:v>0</x:v>
      </x:c>
      <x:c r="O284" s="66" t="str">
        <x:v>PROVISÓRIA</x:v>
      </x:c>
    </x:row>
    <x:row r="285">
      <x:c r="A285" s="56" t="str">
        <x:v>Escala comum 7º–9º</x:v>
      </x:c>
      <x:c r="B285" s="56" t="str">
        <x:v>8º ano</x:v>
      </x:c>
      <x:c r="C285" s="56" t="str">
        <x:v>MODELO_8_ANO</x:v>
      </x:c>
      <x:c r="D285" s="56" t="str">
        <x:v>MT</x:v>
      </x:c>
      <x:c r="E285" s="56" t="str">
        <x:v>Matemática</x:v>
      </x:c>
      <x:c r="F285" s="56" t="n">
        <x:v>10</x:v>
      </x:c>
      <x:c r="G285" s="56" t="n">
        <x:v>1</x:v>
      </x:c>
      <x:c r="H285" s="70" t="n">
        <x:f>G285/F285</x:f>
        <x:v>0.1</x:v>
      </x:c>
      <x:c r="I285" s="59" t="n">
        <x:f>'Premissas'!$B$14</x:f>
        <x:v>0</x:v>
      </x:c>
      <x:c r="J285" s="59" t="n">
        <x:f>'Premissas'!$G$14</x:f>
        <x:v>1</x:v>
      </x:c>
      <x:c r="K285" s="57" t="n">
        <x:f>ROUND(MAX('Premissas'!$B$5,L285-N285),1)</x:f>
        <x:v>200</x:v>
      </x:c>
      <x:c r="L285" s="57" t="n">
        <x:f>ROUND(MAX('Premissas'!$B$5,MIN('Premissas'!$B$6,'Premissas'!$B$5+('Premissas'!$B$6-'Premissas'!$B$5)*(3*H285^2-2*H285^3)+I285*4*H285*(1-H285))),1)</x:f>
        <x:v>216.8</x:v>
      </x:c>
      <x:c r="M285" s="57" t="n">
        <x:f>ROUND(MIN('Premissas'!$B$6,L285+N285),1)</x:f>
        <x:v>247.4</x:v>
      </x:c>
      <x:c r="N285" s="57" t="n">
        <x:f>ROUND('Premissas'!$B$7*J285*SQRT(10/F285)*4*H285*(1-H285),1)</x:f>
        <x:v>30.6</x:v>
      </x:c>
      <x:c r="O285" s="56" t="str">
        <x:v>PROVISÓRIA</x:v>
      </x:c>
    </x:row>
    <x:row r="286">
      <x:c r="A286" s="66" t="str">
        <x:v>Escala comum 7º–9º</x:v>
      </x:c>
      <x:c r="B286" s="66" t="str">
        <x:v>8º ano</x:v>
      </x:c>
      <x:c r="C286" s="66" t="str">
        <x:v>MODELO_8_ANO</x:v>
      </x:c>
      <x:c r="D286" s="66" t="str">
        <x:v>MT</x:v>
      </x:c>
      <x:c r="E286" s="66" t="str">
        <x:v>Matemática</x:v>
      </x:c>
      <x:c r="F286" s="66" t="n">
        <x:v>10</x:v>
      </x:c>
      <x:c r="G286" s="66" t="n">
        <x:v>2</x:v>
      </x:c>
      <x:c r="H286" s="67" t="n">
        <x:f>G286/F286</x:f>
        <x:v>0.2</x:v>
      </x:c>
      <x:c r="I286" s="68" t="n">
        <x:f>'Premissas'!$B$14</x:f>
        <x:v>0</x:v>
      </x:c>
      <x:c r="J286" s="68" t="n">
        <x:f>'Premissas'!$G$14</x:f>
        <x:v>1</x:v>
      </x:c>
      <x:c r="K286" s="69" t="n">
        <x:f>ROUND(MAX('Premissas'!$B$5,L286-N286),1)</x:f>
        <x:v>208</x:v>
      </x:c>
      <x:c r="L286" s="69" t="n">
        <x:f>ROUND(MAX('Premissas'!$B$5,MIN('Premissas'!$B$6,'Premissas'!$B$5+('Premissas'!$B$6-'Premissas'!$B$5)*(3*H286^2-2*H286^3)+I286*4*H286*(1-H286))),1)</x:f>
        <x:v>262.4</x:v>
      </x:c>
      <x:c r="M286" s="69" t="n">
        <x:f>ROUND(MIN('Premissas'!$B$6,L286+N286),1)</x:f>
        <x:v>316.8</x:v>
      </x:c>
      <x:c r="N286" s="69" t="n">
        <x:f>ROUND('Premissas'!$B$7*J286*SQRT(10/F286)*4*H286*(1-H286),1)</x:f>
        <x:v>54.4</x:v>
      </x:c>
      <x:c r="O286" s="66" t="str">
        <x:v>PROVISÓRIA</x:v>
      </x:c>
    </x:row>
    <x:row r="287">
      <x:c r="A287" s="56" t="str">
        <x:v>Escala comum 7º–9º</x:v>
      </x:c>
      <x:c r="B287" s="56" t="str">
        <x:v>8º ano</x:v>
      </x:c>
      <x:c r="C287" s="56" t="str">
        <x:v>MODELO_8_ANO</x:v>
      </x:c>
      <x:c r="D287" s="56" t="str">
        <x:v>MT</x:v>
      </x:c>
      <x:c r="E287" s="56" t="str">
        <x:v>Matemática</x:v>
      </x:c>
      <x:c r="F287" s="56" t="n">
        <x:v>10</x:v>
      </x:c>
      <x:c r="G287" s="56" t="n">
        <x:v>3</x:v>
      </x:c>
      <x:c r="H287" s="70" t="n">
        <x:f>G287/F287</x:f>
        <x:v>0.3</x:v>
      </x:c>
      <x:c r="I287" s="59" t="n">
        <x:f>'Premissas'!$B$14</x:f>
        <x:v>0</x:v>
      </x:c>
      <x:c r="J287" s="59" t="n">
        <x:f>'Premissas'!$G$14</x:f>
        <x:v>1</x:v>
      </x:c>
      <x:c r="K287" s="57" t="n">
        <x:f>ROUND(MAX('Premissas'!$B$5,L287-N287),1)</x:f>
        <x:v>258.2</x:v>
      </x:c>
      <x:c r="L287" s="57" t="n">
        <x:f>ROUND(MAX('Premissas'!$B$5,MIN('Premissas'!$B$6,'Premissas'!$B$5+('Premissas'!$B$6-'Premissas'!$B$5)*(3*H287^2-2*H287^3)+I287*4*H287*(1-H287))),1)</x:f>
        <x:v>329.6</x:v>
      </x:c>
      <x:c r="M287" s="57" t="n">
        <x:f>ROUND(MIN('Premissas'!$B$6,L287+N287),1)</x:f>
        <x:v>401</x:v>
      </x:c>
      <x:c r="N287" s="57" t="n">
        <x:f>ROUND('Premissas'!$B$7*J287*SQRT(10/F287)*4*H287*(1-H287),1)</x:f>
        <x:v>71.4</x:v>
      </x:c>
      <x:c r="O287" s="56" t="str">
        <x:v>PROVISÓRIA</x:v>
      </x:c>
    </x:row>
    <x:row r="288">
      <x:c r="A288" s="66" t="str">
        <x:v>Escala comum 7º–9º</x:v>
      </x:c>
      <x:c r="B288" s="66" t="str">
        <x:v>8º ano</x:v>
      </x:c>
      <x:c r="C288" s="66" t="str">
        <x:v>MODELO_8_ANO</x:v>
      </x:c>
      <x:c r="D288" s="66" t="str">
        <x:v>MT</x:v>
      </x:c>
      <x:c r="E288" s="66" t="str">
        <x:v>Matemática</x:v>
      </x:c>
      <x:c r="F288" s="66" t="n">
        <x:v>10</x:v>
      </x:c>
      <x:c r="G288" s="66" t="n">
        <x:v>4</x:v>
      </x:c>
      <x:c r="H288" s="67" t="n">
        <x:f>G288/F288</x:f>
        <x:v>0.4</x:v>
      </x:c>
      <x:c r="I288" s="68" t="n">
        <x:f>'Premissas'!$B$14</x:f>
        <x:v>0</x:v>
      </x:c>
      <x:c r="J288" s="68" t="n">
        <x:f>'Premissas'!$G$14</x:f>
        <x:v>1</x:v>
      </x:c>
      <x:c r="K288" s="69" t="n">
        <x:f>ROUND(MAX('Premissas'!$B$5,L288-N288),1)</x:f>
        <x:v>329.6</x:v>
      </x:c>
      <x:c r="L288" s="69" t="n">
        <x:f>ROUND(MAX('Premissas'!$B$5,MIN('Premissas'!$B$6,'Premissas'!$B$5+('Premissas'!$B$6-'Premissas'!$B$5)*(3*H288^2-2*H288^3)+I288*4*H288*(1-H288))),1)</x:f>
        <x:v>411.2</x:v>
      </x:c>
      <x:c r="M288" s="69" t="n">
        <x:f>ROUND(MIN('Premissas'!$B$6,L288+N288),1)</x:f>
        <x:v>492.8</x:v>
      </x:c>
      <x:c r="N288" s="69" t="n">
        <x:f>ROUND('Premissas'!$B$7*J288*SQRT(10/F288)*4*H288*(1-H288),1)</x:f>
        <x:v>81.6</x:v>
      </x:c>
      <x:c r="O288" s="66" t="str">
        <x:v>PROVISÓRIA</x:v>
      </x:c>
    </x:row>
    <x:row r="289">
      <x:c r="A289" s="56" t="str">
        <x:v>Escala comum 7º–9º</x:v>
      </x:c>
      <x:c r="B289" s="56" t="str">
        <x:v>8º ano</x:v>
      </x:c>
      <x:c r="C289" s="56" t="str">
        <x:v>MODELO_8_ANO</x:v>
      </x:c>
      <x:c r="D289" s="56" t="str">
        <x:v>MT</x:v>
      </x:c>
      <x:c r="E289" s="56" t="str">
        <x:v>Matemática</x:v>
      </x:c>
      <x:c r="F289" s="56" t="n">
        <x:v>10</x:v>
      </x:c>
      <x:c r="G289" s="56" t="n">
        <x:v>5</x:v>
      </x:c>
      <x:c r="H289" s="70" t="n">
        <x:f>G289/F289</x:f>
        <x:v>0.5</x:v>
      </x:c>
      <x:c r="I289" s="59" t="n">
        <x:f>'Premissas'!$B$14</x:f>
        <x:v>0</x:v>
      </x:c>
      <x:c r="J289" s="59" t="n">
        <x:f>'Premissas'!$G$14</x:f>
        <x:v>1</x:v>
      </x:c>
      <x:c r="K289" s="57" t="n">
        <x:f>ROUND(MAX('Premissas'!$B$5,L289-N289),1)</x:f>
        <x:v>415</x:v>
      </x:c>
      <x:c r="L289" s="57" t="n">
        <x:f>ROUND(MAX('Premissas'!$B$5,MIN('Premissas'!$B$6,'Premissas'!$B$5+('Premissas'!$B$6-'Premissas'!$B$5)*(3*H289^2-2*H289^3)+I289*4*H289*(1-H289))),1)</x:f>
        <x:v>500</x:v>
      </x:c>
      <x:c r="M289" s="57" t="n">
        <x:f>ROUND(MIN('Premissas'!$B$6,L289+N289),1)</x:f>
        <x:v>585</x:v>
      </x:c>
      <x:c r="N289" s="57" t="n">
        <x:f>ROUND('Premissas'!$B$7*J289*SQRT(10/F289)*4*H289*(1-H289),1)</x:f>
        <x:v>85</x:v>
      </x:c>
      <x:c r="O289" s="56" t="str">
        <x:v>PROVISÓRIA</x:v>
      </x:c>
    </x:row>
    <x:row r="290">
      <x:c r="A290" s="66" t="str">
        <x:v>Escala comum 7º–9º</x:v>
      </x:c>
      <x:c r="B290" s="66" t="str">
        <x:v>8º ano</x:v>
      </x:c>
      <x:c r="C290" s="66" t="str">
        <x:v>MODELO_8_ANO</x:v>
      </x:c>
      <x:c r="D290" s="66" t="str">
        <x:v>MT</x:v>
      </x:c>
      <x:c r="E290" s="66" t="str">
        <x:v>Matemática</x:v>
      </x:c>
      <x:c r="F290" s="66" t="n">
        <x:v>10</x:v>
      </x:c>
      <x:c r="G290" s="66" t="n">
        <x:v>6</x:v>
      </x:c>
      <x:c r="H290" s="67" t="n">
        <x:f>G290/F290</x:f>
        <x:v>0.6</x:v>
      </x:c>
      <x:c r="I290" s="68" t="n">
        <x:f>'Premissas'!$B$14</x:f>
        <x:v>0</x:v>
      </x:c>
      <x:c r="J290" s="68" t="n">
        <x:f>'Premissas'!$G$14</x:f>
        <x:v>1</x:v>
      </x:c>
      <x:c r="K290" s="69" t="n">
        <x:f>ROUND(MAX('Premissas'!$B$5,L290-N290),1)</x:f>
        <x:v>507.2</x:v>
      </x:c>
      <x:c r="L290" s="69" t="n">
        <x:f>ROUND(MAX('Premissas'!$B$5,MIN('Premissas'!$B$6,'Premissas'!$B$5+('Premissas'!$B$6-'Premissas'!$B$5)*(3*H290^2-2*H290^3)+I290*4*H290*(1-H290))),1)</x:f>
        <x:v>588.8</x:v>
      </x:c>
      <x:c r="M290" s="69" t="n">
        <x:f>ROUND(MIN('Premissas'!$B$6,L290+N290),1)</x:f>
        <x:v>670.4</x:v>
      </x:c>
      <x:c r="N290" s="69" t="n">
        <x:f>ROUND('Premissas'!$B$7*J290*SQRT(10/F290)*4*H290*(1-H290),1)</x:f>
        <x:v>81.6</x:v>
      </x:c>
      <x:c r="O290" s="66" t="str">
        <x:v>PROVISÓRIA</x:v>
      </x:c>
    </x:row>
    <x:row r="291">
      <x:c r="A291" s="56" t="str">
        <x:v>Escala comum 7º–9º</x:v>
      </x:c>
      <x:c r="B291" s="56" t="str">
        <x:v>8º ano</x:v>
      </x:c>
      <x:c r="C291" s="56" t="str">
        <x:v>MODELO_8_ANO</x:v>
      </x:c>
      <x:c r="D291" s="56" t="str">
        <x:v>MT</x:v>
      </x:c>
      <x:c r="E291" s="56" t="str">
        <x:v>Matemática</x:v>
      </x:c>
      <x:c r="F291" s="56" t="n">
        <x:v>10</x:v>
      </x:c>
      <x:c r="G291" s="56" t="n">
        <x:v>7</x:v>
      </x:c>
      <x:c r="H291" s="70" t="n">
        <x:f>G291/F291</x:f>
        <x:v>0.7</x:v>
      </x:c>
      <x:c r="I291" s="59" t="n">
        <x:f>'Premissas'!$B$14</x:f>
        <x:v>0</x:v>
      </x:c>
      <x:c r="J291" s="59" t="n">
        <x:f>'Premissas'!$G$14</x:f>
        <x:v>1</x:v>
      </x:c>
      <x:c r="K291" s="57" t="n">
        <x:f>ROUND(MAX('Premissas'!$B$5,L291-N291),1)</x:f>
        <x:v>599</x:v>
      </x:c>
      <x:c r="L291" s="57" t="n">
        <x:f>ROUND(MAX('Premissas'!$B$5,MIN('Premissas'!$B$6,'Premissas'!$B$5+('Premissas'!$B$6-'Premissas'!$B$5)*(3*H291^2-2*H291^3)+I291*4*H291*(1-H291))),1)</x:f>
        <x:v>670.4</x:v>
      </x:c>
      <x:c r="M291" s="57" t="n">
        <x:f>ROUND(MIN('Premissas'!$B$6,L291+N291),1)</x:f>
        <x:v>741.8</x:v>
      </x:c>
      <x:c r="N291" s="57" t="n">
        <x:f>ROUND('Premissas'!$B$7*J291*SQRT(10/F291)*4*H291*(1-H291),1)</x:f>
        <x:v>71.4</x:v>
      </x:c>
      <x:c r="O291" s="56" t="str">
        <x:v>PROVISÓRIA</x:v>
      </x:c>
    </x:row>
    <x:row r="292">
      <x:c r="A292" s="66" t="str">
        <x:v>Escala comum 7º–9º</x:v>
      </x:c>
      <x:c r="B292" s="66" t="str">
        <x:v>8º ano</x:v>
      </x:c>
      <x:c r="C292" s="66" t="str">
        <x:v>MODELO_8_ANO</x:v>
      </x:c>
      <x:c r="D292" s="66" t="str">
        <x:v>MT</x:v>
      </x:c>
      <x:c r="E292" s="66" t="str">
        <x:v>Matemática</x:v>
      </x:c>
      <x:c r="F292" s="66" t="n">
        <x:v>10</x:v>
      </x:c>
      <x:c r="G292" s="66" t="n">
        <x:v>8</x:v>
      </x:c>
      <x:c r="H292" s="67" t="n">
        <x:f>G292/F292</x:f>
        <x:v>0.8</x:v>
      </x:c>
      <x:c r="I292" s="68" t="n">
        <x:f>'Premissas'!$B$14</x:f>
        <x:v>0</x:v>
      </x:c>
      <x:c r="J292" s="68" t="n">
        <x:f>'Premissas'!$G$14</x:f>
        <x:v>1</x:v>
      </x:c>
      <x:c r="K292" s="69" t="n">
        <x:f>ROUND(MAX('Premissas'!$B$5,L292-N292),1)</x:f>
        <x:v>683.2</x:v>
      </x:c>
      <x:c r="L292" s="69" t="n">
        <x:f>ROUND(MAX('Premissas'!$B$5,MIN('Premissas'!$B$6,'Premissas'!$B$5+('Premissas'!$B$6-'Premissas'!$B$5)*(3*H292^2-2*H292^3)+I292*4*H292*(1-H292))),1)</x:f>
        <x:v>737.6</x:v>
      </x:c>
      <x:c r="M292" s="69" t="n">
        <x:f>ROUND(MIN('Premissas'!$B$6,L292+N292),1)</x:f>
        <x:v>792</x:v>
      </x:c>
      <x:c r="N292" s="69" t="n">
        <x:f>ROUND('Premissas'!$B$7*J292*SQRT(10/F292)*4*H292*(1-H292),1)</x:f>
        <x:v>54.4</x:v>
      </x:c>
      <x:c r="O292" s="66" t="str">
        <x:v>PROVISÓRIA</x:v>
      </x:c>
    </x:row>
    <x:row r="293">
      <x:c r="A293" s="56" t="str">
        <x:v>Escala comum 7º–9º</x:v>
      </x:c>
      <x:c r="B293" s="56" t="str">
        <x:v>8º ano</x:v>
      </x:c>
      <x:c r="C293" s="56" t="str">
        <x:v>MODELO_8_ANO</x:v>
      </x:c>
      <x:c r="D293" s="56" t="str">
        <x:v>MT</x:v>
      </x:c>
      <x:c r="E293" s="56" t="str">
        <x:v>Matemática</x:v>
      </x:c>
      <x:c r="F293" s="56" t="n">
        <x:v>10</x:v>
      </x:c>
      <x:c r="G293" s="56" t="n">
        <x:v>9</x:v>
      </x:c>
      <x:c r="H293" s="70" t="n">
        <x:f>G293/F293</x:f>
        <x:v>0.9</x:v>
      </x:c>
      <x:c r="I293" s="59" t="n">
        <x:f>'Premissas'!$B$14</x:f>
        <x:v>0</x:v>
      </x:c>
      <x:c r="J293" s="59" t="n">
        <x:f>'Premissas'!$G$14</x:f>
        <x:v>1</x:v>
      </x:c>
      <x:c r="K293" s="57" t="n">
        <x:f>ROUND(MAX('Premissas'!$B$5,L293-N293),1)</x:f>
        <x:v>752.6</x:v>
      </x:c>
      <x:c r="L293" s="57" t="n">
        <x:f>ROUND(MAX('Premissas'!$B$5,MIN('Premissas'!$B$6,'Premissas'!$B$5+('Premissas'!$B$6-'Premissas'!$B$5)*(3*H293^2-2*H293^3)+I293*4*H293*(1-H293))),1)</x:f>
        <x:v>783.2</x:v>
      </x:c>
      <x:c r="M293" s="57" t="n">
        <x:f>ROUND(MIN('Premissas'!$B$6,L293+N293),1)</x:f>
        <x:v>800</x:v>
      </x:c>
      <x:c r="N293" s="57" t="n">
        <x:f>ROUND('Premissas'!$B$7*J293*SQRT(10/F293)*4*H293*(1-H293),1)</x:f>
        <x:v>30.6</x:v>
      </x:c>
      <x:c r="O293" s="56" t="str">
        <x:v>PROVISÓRIA</x:v>
      </x:c>
    </x:row>
    <x:row r="294">
      <x:c r="A294" s="66" t="str">
        <x:v>Escala comum 7º–9º</x:v>
      </x:c>
      <x:c r="B294" s="66" t="str">
        <x:v>8º ano</x:v>
      </x:c>
      <x:c r="C294" s="66" t="str">
        <x:v>MODELO_8_ANO</x:v>
      </x:c>
      <x:c r="D294" s="66" t="str">
        <x:v>MT</x:v>
      </x:c>
      <x:c r="E294" s="66" t="str">
        <x:v>Matemática</x:v>
      </x:c>
      <x:c r="F294" s="66" t="n">
        <x:v>10</x:v>
      </x:c>
      <x:c r="G294" s="66" t="n">
        <x:v>10</x:v>
      </x:c>
      <x:c r="H294" s="67" t="n">
        <x:f>G294/F294</x:f>
        <x:v>1</x:v>
      </x:c>
      <x:c r="I294" s="68" t="n">
        <x:f>'Premissas'!$B$14</x:f>
        <x:v>0</x:v>
      </x:c>
      <x:c r="J294" s="68" t="n">
        <x:f>'Premissas'!$G$14</x:f>
        <x:v>1</x:v>
      </x:c>
      <x:c r="K294" s="69" t="n">
        <x:f>ROUND(MAX('Premissas'!$B$5,L294-N294),1)</x:f>
        <x:v>800</x:v>
      </x:c>
      <x:c r="L294" s="69" t="n">
        <x:f>ROUND(MAX('Premissas'!$B$5,MIN('Premissas'!$B$6,'Premissas'!$B$5+('Premissas'!$B$6-'Premissas'!$B$5)*(3*H294^2-2*H294^3)+I294*4*H294*(1-H294))),1)</x:f>
        <x:v>800</x:v>
      </x:c>
      <x:c r="M294" s="69" t="n">
        <x:f>ROUND(MIN('Premissas'!$B$6,L294+N294),1)</x:f>
        <x:v>800</x:v>
      </x:c>
      <x:c r="N294" s="69" t="n">
        <x:f>ROUND('Premissas'!$B$7*J294*SQRT(10/F294)*4*H294*(1-H294),1)</x:f>
        <x:v>0</x:v>
      </x:c>
      <x:c r="O294" s="66" t="str">
        <x:v>PROVISÓRIA</x:v>
      </x:c>
    </x:row>
    <x:row r="295">
      <x:c r="A295" s="56" t="str">
        <x:v>Escala comum 7º–9º</x:v>
      </x:c>
      <x:c r="B295" s="56" t="str">
        <x:v>8º ano</x:v>
      </x:c>
      <x:c r="C295" s="56" t="str">
        <x:v>MODELO_8_ANO</x:v>
      </x:c>
      <x:c r="D295" s="56" t="str">
        <x:v>CH</x:v>
      </x:c>
      <x:c r="E295" s="56" t="str">
        <x:v>Ciências Humanas</x:v>
      </x:c>
      <x:c r="F295" s="56" t="n">
        <x:v>15</x:v>
      </x:c>
      <x:c r="G295" s="56" t="n">
        <x:v>0</x:v>
      </x:c>
      <x:c r="H295" s="70" t="n">
        <x:f>G295/F295</x:f>
        <x:v>0</x:v>
      </x:c>
      <x:c r="I295" s="59" t="n">
        <x:f>'Premissas'!$B$14</x:f>
        <x:v>0</x:v>
      </x:c>
      <x:c r="J295" s="59" t="n">
        <x:f>'Premissas'!$G$15</x:f>
        <x:v>1</x:v>
      </x:c>
      <x:c r="K295" s="57" t="n">
        <x:f>ROUND(MAX('Premissas'!$B$5,L295-N295),1)</x:f>
        <x:v>200</x:v>
      </x:c>
      <x:c r="L295" s="57" t="n">
        <x:f>ROUND(MAX('Premissas'!$B$5,MIN('Premissas'!$B$6,'Premissas'!$B$5+('Premissas'!$B$6-'Premissas'!$B$5)*(3*H295^2-2*H295^3)+I295*4*H295*(1-H295))),1)</x:f>
        <x:v>200</x:v>
      </x:c>
      <x:c r="M295" s="57" t="n">
        <x:f>ROUND(MIN('Premissas'!$B$6,L295+N295),1)</x:f>
        <x:v>200</x:v>
      </x:c>
      <x:c r="N295" s="57" t="n">
        <x:f>ROUND('Premissas'!$B$7*J295*SQRT(10/F295)*4*H295*(1-H295),1)</x:f>
        <x:v>0</x:v>
      </x:c>
      <x:c r="O295" s="56" t="str">
        <x:v>PROVISÓRIA</x:v>
      </x:c>
    </x:row>
    <x:row r="296">
      <x:c r="A296" s="66" t="str">
        <x:v>Escala comum 7º–9º</x:v>
      </x:c>
      <x:c r="B296" s="66" t="str">
        <x:v>8º ano</x:v>
      </x:c>
      <x:c r="C296" s="66" t="str">
        <x:v>MODELO_8_ANO</x:v>
      </x:c>
      <x:c r="D296" s="66" t="str">
        <x:v>CH</x:v>
      </x:c>
      <x:c r="E296" s="66" t="str">
        <x:v>Ciências Humanas</x:v>
      </x:c>
      <x:c r="F296" s="66" t="n">
        <x:v>15</x:v>
      </x:c>
      <x:c r="G296" s="66" t="n">
        <x:v>1</x:v>
      </x:c>
      <x:c r="H296" s="67" t="n">
        <x:f>G296/F296</x:f>
        <x:v>0.06666666666666667</x:v>
      </x:c>
      <x:c r="I296" s="68" t="n">
        <x:f>'Premissas'!$B$14</x:f>
        <x:v>0</x:v>
      </x:c>
      <x:c r="J296" s="68" t="n">
        <x:f>'Premissas'!$G$15</x:f>
        <x:v>1</x:v>
      </x:c>
      <x:c r="K296" s="69" t="n">
        <x:f>ROUND(MAX('Premissas'!$B$5,L296-N296),1)</x:f>
        <x:v>200</x:v>
      </x:c>
      <x:c r="L296" s="69" t="n">
        <x:f>ROUND(MAX('Premissas'!$B$5,MIN('Premissas'!$B$6,'Premissas'!$B$5+('Premissas'!$B$6-'Premissas'!$B$5)*(3*H296^2-2*H296^3)+I296*4*H296*(1-H296))),1)</x:f>
        <x:v>207.6</x:v>
      </x:c>
      <x:c r="M296" s="69" t="n">
        <x:f>ROUND(MIN('Premissas'!$B$6,L296+N296),1)</x:f>
        <x:v>224.9</x:v>
      </x:c>
      <x:c r="N296" s="69" t="n">
        <x:f>ROUND('Premissas'!$B$7*J296*SQRT(10/F296)*4*H296*(1-H296),1)</x:f>
        <x:v>17.3</x:v>
      </x:c>
      <x:c r="O296" s="66" t="str">
        <x:v>PROVISÓRIA</x:v>
      </x:c>
    </x:row>
    <x:row r="297">
      <x:c r="A297" s="56" t="str">
        <x:v>Escala comum 7º–9º</x:v>
      </x:c>
      <x:c r="B297" s="56" t="str">
        <x:v>8º ano</x:v>
      </x:c>
      <x:c r="C297" s="56" t="str">
        <x:v>MODELO_8_ANO</x:v>
      </x:c>
      <x:c r="D297" s="56" t="str">
        <x:v>CH</x:v>
      </x:c>
      <x:c r="E297" s="56" t="str">
        <x:v>Ciências Humanas</x:v>
      </x:c>
      <x:c r="F297" s="56" t="n">
        <x:v>15</x:v>
      </x:c>
      <x:c r="G297" s="56" t="n">
        <x:v>2</x:v>
      </x:c>
      <x:c r="H297" s="70" t="n">
        <x:f>G297/F297</x:f>
        <x:v>0.13333333333333333</x:v>
      </x:c>
      <x:c r="I297" s="59" t="n">
        <x:f>'Premissas'!$B$14</x:f>
        <x:v>0</x:v>
      </x:c>
      <x:c r="J297" s="59" t="n">
        <x:f>'Premissas'!$G$15</x:f>
        <x:v>1</x:v>
      </x:c>
      <x:c r="K297" s="57" t="n">
        <x:f>ROUND(MAX('Premissas'!$B$5,L297-N297),1)</x:f>
        <x:v>200</x:v>
      </x:c>
      <x:c r="L297" s="57" t="n">
        <x:f>ROUND(MAX('Premissas'!$B$5,MIN('Premissas'!$B$6,'Premissas'!$B$5+('Premissas'!$B$6-'Premissas'!$B$5)*(3*H297^2-2*H297^3)+I297*4*H297*(1-H297))),1)</x:f>
        <x:v>229.2</x:v>
      </x:c>
      <x:c r="M297" s="57" t="n">
        <x:f>ROUND(MIN('Premissas'!$B$6,L297+N297),1)</x:f>
        <x:v>261.3</x:v>
      </x:c>
      <x:c r="N297" s="57" t="n">
        <x:f>ROUND('Premissas'!$B$7*J297*SQRT(10/F297)*4*H297*(1-H297),1)</x:f>
        <x:v>32.1</x:v>
      </x:c>
      <x:c r="O297" s="56" t="str">
        <x:v>PROVISÓRIA</x:v>
      </x:c>
    </x:row>
    <x:row r="298">
      <x:c r="A298" s="66" t="str">
        <x:v>Escala comum 7º–9º</x:v>
      </x:c>
      <x:c r="B298" s="66" t="str">
        <x:v>8º ano</x:v>
      </x:c>
      <x:c r="C298" s="66" t="str">
        <x:v>MODELO_8_ANO</x:v>
      </x:c>
      <x:c r="D298" s="66" t="str">
        <x:v>CH</x:v>
      </x:c>
      <x:c r="E298" s="66" t="str">
        <x:v>Ciências Humanas</x:v>
      </x:c>
      <x:c r="F298" s="66" t="n">
        <x:v>15</x:v>
      </x:c>
      <x:c r="G298" s="66" t="n">
        <x:v>3</x:v>
      </x:c>
      <x:c r="H298" s="67" t="n">
        <x:f>G298/F298</x:f>
        <x:v>0.2</x:v>
      </x:c>
      <x:c r="I298" s="68" t="n">
        <x:f>'Premissas'!$B$14</x:f>
        <x:v>0</x:v>
      </x:c>
      <x:c r="J298" s="68" t="n">
        <x:f>'Premissas'!$G$15</x:f>
        <x:v>1</x:v>
      </x:c>
      <x:c r="K298" s="69" t="n">
        <x:f>ROUND(MAX('Premissas'!$B$5,L298-N298),1)</x:f>
        <x:v>218</x:v>
      </x:c>
      <x:c r="L298" s="69" t="n">
        <x:f>ROUND(MAX('Premissas'!$B$5,MIN('Premissas'!$B$6,'Premissas'!$B$5+('Premissas'!$B$6-'Premissas'!$B$5)*(3*H298^2-2*H298^3)+I298*4*H298*(1-H298))),1)</x:f>
        <x:v>262.4</x:v>
      </x:c>
      <x:c r="M298" s="69" t="n">
        <x:f>ROUND(MIN('Premissas'!$B$6,L298+N298),1)</x:f>
        <x:v>306.8</x:v>
      </x:c>
      <x:c r="N298" s="69" t="n">
        <x:f>ROUND('Premissas'!$B$7*J298*SQRT(10/F298)*4*H298*(1-H298),1)</x:f>
        <x:v>44.4</x:v>
      </x:c>
      <x:c r="O298" s="66" t="str">
        <x:v>PROVISÓRIA</x:v>
      </x:c>
    </x:row>
    <x:row r="299">
      <x:c r="A299" s="56" t="str">
        <x:v>Escala comum 7º–9º</x:v>
      </x:c>
      <x:c r="B299" s="56" t="str">
        <x:v>8º ano</x:v>
      </x:c>
      <x:c r="C299" s="56" t="str">
        <x:v>MODELO_8_ANO</x:v>
      </x:c>
      <x:c r="D299" s="56" t="str">
        <x:v>CH</x:v>
      </x:c>
      <x:c r="E299" s="56" t="str">
        <x:v>Ciências Humanas</x:v>
      </x:c>
      <x:c r="F299" s="56" t="n">
        <x:v>15</x:v>
      </x:c>
      <x:c r="G299" s="56" t="n">
        <x:v>4</x:v>
      </x:c>
      <x:c r="H299" s="70" t="n">
        <x:f>G299/F299</x:f>
        <x:v>0.26666666666666666</x:v>
      </x:c>
      <x:c r="I299" s="59" t="n">
        <x:f>'Premissas'!$B$14</x:f>
        <x:v>0</x:v>
      </x:c>
      <x:c r="J299" s="59" t="n">
        <x:f>'Premissas'!$G$15</x:f>
        <x:v>1</x:v>
      </x:c>
      <x:c r="K299" s="57" t="n">
        <x:f>ROUND(MAX('Premissas'!$B$5,L299-N299),1)</x:f>
        <x:v>250.9</x:v>
      </x:c>
      <x:c r="L299" s="57" t="n">
        <x:f>ROUND(MAX('Premissas'!$B$5,MIN('Premissas'!$B$6,'Premissas'!$B$5+('Premissas'!$B$6-'Premissas'!$B$5)*(3*H299^2-2*H299^3)+I299*4*H299*(1-H299))),1)</x:f>
        <x:v>305.2</x:v>
      </x:c>
      <x:c r="M299" s="57" t="n">
        <x:f>ROUND(MIN('Premissas'!$B$6,L299+N299),1)</x:f>
        <x:v>359.5</x:v>
      </x:c>
      <x:c r="N299" s="57" t="n">
        <x:f>ROUND('Premissas'!$B$7*J299*SQRT(10/F299)*4*H299*(1-H299),1)</x:f>
        <x:v>54.3</x:v>
      </x:c>
      <x:c r="O299" s="56" t="str">
        <x:v>PROVISÓRIA</x:v>
      </x:c>
    </x:row>
    <x:row r="300">
      <x:c r="A300" s="66" t="str">
        <x:v>Escala comum 7º–9º</x:v>
      </x:c>
      <x:c r="B300" s="66" t="str">
        <x:v>8º ano</x:v>
      </x:c>
      <x:c r="C300" s="66" t="str">
        <x:v>MODELO_8_ANO</x:v>
      </x:c>
      <x:c r="D300" s="66" t="str">
        <x:v>CH</x:v>
      </x:c>
      <x:c r="E300" s="66" t="str">
        <x:v>Ciências Humanas</x:v>
      </x:c>
      <x:c r="F300" s="66" t="n">
        <x:v>15</x:v>
      </x:c>
      <x:c r="G300" s="66" t="n">
        <x:v>5</x:v>
      </x:c>
      <x:c r="H300" s="67" t="n">
        <x:f>G300/F300</x:f>
        <x:v>0.3333333333333333</x:v>
      </x:c>
      <x:c r="I300" s="68" t="n">
        <x:f>'Premissas'!$B$14</x:f>
        <x:v>0</x:v>
      </x:c>
      <x:c r="J300" s="68" t="n">
        <x:f>'Premissas'!$G$15</x:f>
        <x:v>1</x:v>
      </x:c>
      <x:c r="K300" s="69" t="n">
        <x:f>ROUND(MAX('Premissas'!$B$5,L300-N300),1)</x:f>
        <x:v>293.9</x:v>
      </x:c>
      <x:c r="L300" s="69" t="n">
        <x:f>ROUND(MAX('Premissas'!$B$5,MIN('Premissas'!$B$6,'Premissas'!$B$5+('Premissas'!$B$6-'Premissas'!$B$5)*(3*H300^2-2*H300^3)+I300*4*H300*(1-H300))),1)</x:f>
        <x:v>355.6</x:v>
      </x:c>
      <x:c r="M300" s="69" t="n">
        <x:f>ROUND(MIN('Premissas'!$B$6,L300+N300),1)</x:f>
        <x:v>417.3</x:v>
      </x:c>
      <x:c r="N300" s="69" t="n">
        <x:f>ROUND('Premissas'!$B$7*J300*SQRT(10/F300)*4*H300*(1-H300),1)</x:f>
        <x:v>61.7</x:v>
      </x:c>
      <x:c r="O300" s="66" t="str">
        <x:v>PROVISÓRIA</x:v>
      </x:c>
    </x:row>
    <x:row r="301">
      <x:c r="A301" s="56" t="str">
        <x:v>Escala comum 7º–9º</x:v>
      </x:c>
      <x:c r="B301" s="56" t="str">
        <x:v>8º ano</x:v>
      </x:c>
      <x:c r="C301" s="56" t="str">
        <x:v>MODELO_8_ANO</x:v>
      </x:c>
      <x:c r="D301" s="56" t="str">
        <x:v>CH</x:v>
      </x:c>
      <x:c r="E301" s="56" t="str">
        <x:v>Ciências Humanas</x:v>
      </x:c>
      <x:c r="F301" s="56" t="n">
        <x:v>15</x:v>
      </x:c>
      <x:c r="G301" s="56" t="n">
        <x:v>6</x:v>
      </x:c>
      <x:c r="H301" s="70" t="n">
        <x:f>G301/F301</x:f>
        <x:v>0.4</x:v>
      </x:c>
      <x:c r="I301" s="59" t="n">
        <x:f>'Premissas'!$B$14</x:f>
        <x:v>0</x:v>
      </x:c>
      <x:c r="J301" s="59" t="n">
        <x:f>'Premissas'!$G$15</x:f>
        <x:v>1</x:v>
      </x:c>
      <x:c r="K301" s="57" t="n">
        <x:f>ROUND(MAX('Premissas'!$B$5,L301-N301),1)</x:f>
        <x:v>344.6</x:v>
      </x:c>
      <x:c r="L301" s="57" t="n">
        <x:f>ROUND(MAX('Premissas'!$B$5,MIN('Premissas'!$B$6,'Premissas'!$B$5+('Premissas'!$B$6-'Premissas'!$B$5)*(3*H301^2-2*H301^3)+I301*4*H301*(1-H301))),1)</x:f>
        <x:v>411.2</x:v>
      </x:c>
      <x:c r="M301" s="57" t="n">
        <x:f>ROUND(MIN('Premissas'!$B$6,L301+N301),1)</x:f>
        <x:v>477.8</x:v>
      </x:c>
      <x:c r="N301" s="57" t="n">
        <x:f>ROUND('Premissas'!$B$7*J301*SQRT(10/F301)*4*H301*(1-H301),1)</x:f>
        <x:v>66.6</x:v>
      </x:c>
      <x:c r="O301" s="56" t="str">
        <x:v>PROVISÓRIA</x:v>
      </x:c>
    </x:row>
    <x:row r="302">
      <x:c r="A302" s="66" t="str">
        <x:v>Escala comum 7º–9º</x:v>
      </x:c>
      <x:c r="B302" s="66" t="str">
        <x:v>8º ano</x:v>
      </x:c>
      <x:c r="C302" s="66" t="str">
        <x:v>MODELO_8_ANO</x:v>
      </x:c>
      <x:c r="D302" s="66" t="str">
        <x:v>CH</x:v>
      </x:c>
      <x:c r="E302" s="66" t="str">
        <x:v>Ciências Humanas</x:v>
      </x:c>
      <x:c r="F302" s="66" t="n">
        <x:v>15</x:v>
      </x:c>
      <x:c r="G302" s="66" t="n">
        <x:v>7</x:v>
      </x:c>
      <x:c r="H302" s="67" t="n">
        <x:f>G302/F302</x:f>
        <x:v>0.4666666666666667</x:v>
      </x:c>
      <x:c r="I302" s="68" t="n">
        <x:f>'Premissas'!$B$14</x:f>
        <x:v>0</x:v>
      </x:c>
      <x:c r="J302" s="68" t="n">
        <x:f>'Premissas'!$G$15</x:f>
        <x:v>1</x:v>
      </x:c>
      <x:c r="K302" s="69" t="n">
        <x:f>ROUND(MAX('Premissas'!$B$5,L302-N302),1)</x:f>
        <x:v>400.9</x:v>
      </x:c>
      <x:c r="L302" s="69" t="n">
        <x:f>ROUND(MAX('Premissas'!$B$5,MIN('Premissas'!$B$6,'Premissas'!$B$5+('Premissas'!$B$6-'Premissas'!$B$5)*(3*H302^2-2*H302^3)+I302*4*H302*(1-H302))),1)</x:f>
        <x:v>470</x:v>
      </x:c>
      <x:c r="M302" s="69" t="n">
        <x:f>ROUND(MIN('Premissas'!$B$6,L302+N302),1)</x:f>
        <x:v>539.1</x:v>
      </x:c>
      <x:c r="N302" s="69" t="n">
        <x:f>ROUND('Premissas'!$B$7*J302*SQRT(10/F302)*4*H302*(1-H302),1)</x:f>
        <x:v>69.1</x:v>
      </x:c>
      <x:c r="O302" s="66" t="str">
        <x:v>PROVISÓRIA</x:v>
      </x:c>
    </x:row>
    <x:row r="303">
      <x:c r="A303" s="56" t="str">
        <x:v>Escala comum 7º–9º</x:v>
      </x:c>
      <x:c r="B303" s="56" t="str">
        <x:v>8º ano</x:v>
      </x:c>
      <x:c r="C303" s="56" t="str">
        <x:v>MODELO_8_ANO</x:v>
      </x:c>
      <x:c r="D303" s="56" t="str">
        <x:v>CH</x:v>
      </x:c>
      <x:c r="E303" s="56" t="str">
        <x:v>Ciências Humanas</x:v>
      </x:c>
      <x:c r="F303" s="56" t="n">
        <x:v>15</x:v>
      </x:c>
      <x:c r="G303" s="56" t="n">
        <x:v>8</x:v>
      </x:c>
      <x:c r="H303" s="70" t="n">
        <x:f>G303/F303</x:f>
        <x:v>0.5333333333333333</x:v>
      </x:c>
      <x:c r="I303" s="59" t="n">
        <x:f>'Premissas'!$B$14</x:f>
        <x:v>0</x:v>
      </x:c>
      <x:c r="J303" s="59" t="n">
        <x:f>'Premissas'!$G$15</x:f>
        <x:v>1</x:v>
      </x:c>
      <x:c r="K303" s="57" t="n">
        <x:f>ROUND(MAX('Premissas'!$B$5,L303-N303),1)</x:f>
        <x:v>460.9</x:v>
      </x:c>
      <x:c r="L303" s="57" t="n">
        <x:f>ROUND(MAX('Premissas'!$B$5,MIN('Premissas'!$B$6,'Premissas'!$B$5+('Premissas'!$B$6-'Premissas'!$B$5)*(3*H303^2-2*H303^3)+I303*4*H303*(1-H303))),1)</x:f>
        <x:v>530</x:v>
      </x:c>
      <x:c r="M303" s="57" t="n">
        <x:f>ROUND(MIN('Premissas'!$B$6,L303+N303),1)</x:f>
        <x:v>599.1</x:v>
      </x:c>
      <x:c r="N303" s="57" t="n">
        <x:f>ROUND('Premissas'!$B$7*J303*SQRT(10/F303)*4*H303*(1-H303),1)</x:f>
        <x:v>69.1</x:v>
      </x:c>
      <x:c r="O303" s="56" t="str">
        <x:v>PROVISÓRIA</x:v>
      </x:c>
    </x:row>
    <x:row r="304">
      <x:c r="A304" s="66" t="str">
        <x:v>Escala comum 7º–9º</x:v>
      </x:c>
      <x:c r="B304" s="66" t="str">
        <x:v>8º ano</x:v>
      </x:c>
      <x:c r="C304" s="66" t="str">
        <x:v>MODELO_8_ANO</x:v>
      </x:c>
      <x:c r="D304" s="66" t="str">
        <x:v>CH</x:v>
      </x:c>
      <x:c r="E304" s="66" t="str">
        <x:v>Ciências Humanas</x:v>
      </x:c>
      <x:c r="F304" s="66" t="n">
        <x:v>15</x:v>
      </x:c>
      <x:c r="G304" s="66" t="n">
        <x:v>9</x:v>
      </x:c>
      <x:c r="H304" s="67" t="n">
        <x:f>G304/F304</x:f>
        <x:v>0.6</x:v>
      </x:c>
      <x:c r="I304" s="68" t="n">
        <x:f>'Premissas'!$B$14</x:f>
        <x:v>0</x:v>
      </x:c>
      <x:c r="J304" s="68" t="n">
        <x:f>'Premissas'!$G$15</x:f>
        <x:v>1</x:v>
      </x:c>
      <x:c r="K304" s="69" t="n">
        <x:f>ROUND(MAX('Premissas'!$B$5,L304-N304),1)</x:f>
        <x:v>522.2</x:v>
      </x:c>
      <x:c r="L304" s="69" t="n">
        <x:f>ROUND(MAX('Premissas'!$B$5,MIN('Premissas'!$B$6,'Premissas'!$B$5+('Premissas'!$B$6-'Premissas'!$B$5)*(3*H304^2-2*H304^3)+I304*4*H304*(1-H304))),1)</x:f>
        <x:v>588.8</x:v>
      </x:c>
      <x:c r="M304" s="69" t="n">
        <x:f>ROUND(MIN('Premissas'!$B$6,L304+N304),1)</x:f>
        <x:v>655.4</x:v>
      </x:c>
      <x:c r="N304" s="69" t="n">
        <x:f>ROUND('Premissas'!$B$7*J304*SQRT(10/F304)*4*H304*(1-H304),1)</x:f>
        <x:v>66.6</x:v>
      </x:c>
      <x:c r="O304" s="66" t="str">
        <x:v>PROVISÓRIA</x:v>
      </x:c>
    </x:row>
    <x:row r="305">
      <x:c r="A305" s="56" t="str">
        <x:v>Escala comum 7º–9º</x:v>
      </x:c>
      <x:c r="B305" s="56" t="str">
        <x:v>8º ano</x:v>
      </x:c>
      <x:c r="C305" s="56" t="str">
        <x:v>MODELO_8_ANO</x:v>
      </x:c>
      <x:c r="D305" s="56" t="str">
        <x:v>CH</x:v>
      </x:c>
      <x:c r="E305" s="56" t="str">
        <x:v>Ciências Humanas</x:v>
      </x:c>
      <x:c r="F305" s="56" t="n">
        <x:v>15</x:v>
      </x:c>
      <x:c r="G305" s="56" t="n">
        <x:v>10</x:v>
      </x:c>
      <x:c r="H305" s="70" t="n">
        <x:f>G305/F305</x:f>
        <x:v>0.6666666666666666</x:v>
      </x:c>
      <x:c r="I305" s="59" t="n">
        <x:f>'Premissas'!$B$14</x:f>
        <x:v>0</x:v>
      </x:c>
      <x:c r="J305" s="59" t="n">
        <x:f>'Premissas'!$G$15</x:f>
        <x:v>1</x:v>
      </x:c>
      <x:c r="K305" s="57" t="n">
        <x:f>ROUND(MAX('Premissas'!$B$5,L305-N305),1)</x:f>
        <x:v>582.7</x:v>
      </x:c>
      <x:c r="L305" s="57" t="n">
        <x:f>ROUND(MAX('Premissas'!$B$5,MIN('Premissas'!$B$6,'Premissas'!$B$5+('Premissas'!$B$6-'Premissas'!$B$5)*(3*H305^2-2*H305^3)+I305*4*H305*(1-H305))),1)</x:f>
        <x:v>644.4</x:v>
      </x:c>
      <x:c r="M305" s="57" t="n">
        <x:f>ROUND(MIN('Premissas'!$B$6,L305+N305),1)</x:f>
        <x:v>706.1</x:v>
      </x:c>
      <x:c r="N305" s="57" t="n">
        <x:f>ROUND('Premissas'!$B$7*J305*SQRT(10/F305)*4*H305*(1-H305),1)</x:f>
        <x:v>61.7</x:v>
      </x:c>
      <x:c r="O305" s="56" t="str">
        <x:v>PROVISÓRIA</x:v>
      </x:c>
    </x:row>
    <x:row r="306">
      <x:c r="A306" s="66" t="str">
        <x:v>Escala comum 7º–9º</x:v>
      </x:c>
      <x:c r="B306" s="66" t="str">
        <x:v>8º ano</x:v>
      </x:c>
      <x:c r="C306" s="66" t="str">
        <x:v>MODELO_8_ANO</x:v>
      </x:c>
      <x:c r="D306" s="66" t="str">
        <x:v>CH</x:v>
      </x:c>
      <x:c r="E306" s="66" t="str">
        <x:v>Ciências Humanas</x:v>
      </x:c>
      <x:c r="F306" s="66" t="n">
        <x:v>15</x:v>
      </x:c>
      <x:c r="G306" s="66" t="n">
        <x:v>11</x:v>
      </x:c>
      <x:c r="H306" s="67" t="n">
        <x:f>G306/F306</x:f>
        <x:v>0.7333333333333333</x:v>
      </x:c>
      <x:c r="I306" s="68" t="n">
        <x:f>'Premissas'!$B$14</x:f>
        <x:v>0</x:v>
      </x:c>
      <x:c r="J306" s="68" t="n">
        <x:f>'Premissas'!$G$15</x:f>
        <x:v>1</x:v>
      </x:c>
      <x:c r="K306" s="69" t="n">
        <x:f>ROUND(MAX('Premissas'!$B$5,L306-N306),1)</x:f>
        <x:v>640.5</x:v>
      </x:c>
      <x:c r="L306" s="69" t="n">
        <x:f>ROUND(MAX('Premissas'!$B$5,MIN('Premissas'!$B$6,'Premissas'!$B$5+('Premissas'!$B$6-'Premissas'!$B$5)*(3*H306^2-2*H306^3)+I306*4*H306*(1-H306))),1)</x:f>
        <x:v>694.8</x:v>
      </x:c>
      <x:c r="M306" s="69" t="n">
        <x:f>ROUND(MIN('Premissas'!$B$6,L306+N306),1)</x:f>
        <x:v>749.1</x:v>
      </x:c>
      <x:c r="N306" s="69" t="n">
        <x:f>ROUND('Premissas'!$B$7*J306*SQRT(10/F306)*4*H306*(1-H306),1)</x:f>
        <x:v>54.3</x:v>
      </x:c>
      <x:c r="O306" s="66" t="str">
        <x:v>PROVISÓRIA</x:v>
      </x:c>
    </x:row>
    <x:row r="307">
      <x:c r="A307" s="56" t="str">
        <x:v>Escala comum 7º–9º</x:v>
      </x:c>
      <x:c r="B307" s="56" t="str">
        <x:v>8º ano</x:v>
      </x:c>
      <x:c r="C307" s="56" t="str">
        <x:v>MODELO_8_ANO</x:v>
      </x:c>
      <x:c r="D307" s="56" t="str">
        <x:v>CH</x:v>
      </x:c>
      <x:c r="E307" s="56" t="str">
        <x:v>Ciências Humanas</x:v>
      </x:c>
      <x:c r="F307" s="56" t="n">
        <x:v>15</x:v>
      </x:c>
      <x:c r="G307" s="56" t="n">
        <x:v>12</x:v>
      </x:c>
      <x:c r="H307" s="70" t="n">
        <x:f>G307/F307</x:f>
        <x:v>0.8</x:v>
      </x:c>
      <x:c r="I307" s="59" t="n">
        <x:f>'Premissas'!$B$14</x:f>
        <x:v>0</x:v>
      </x:c>
      <x:c r="J307" s="59" t="n">
        <x:f>'Premissas'!$G$15</x:f>
        <x:v>1</x:v>
      </x:c>
      <x:c r="K307" s="57" t="n">
        <x:f>ROUND(MAX('Premissas'!$B$5,L307-N307),1)</x:f>
        <x:v>693.2</x:v>
      </x:c>
      <x:c r="L307" s="57" t="n">
        <x:f>ROUND(MAX('Premissas'!$B$5,MIN('Premissas'!$B$6,'Premissas'!$B$5+('Premissas'!$B$6-'Premissas'!$B$5)*(3*H307^2-2*H307^3)+I307*4*H307*(1-H307))),1)</x:f>
        <x:v>737.6</x:v>
      </x:c>
      <x:c r="M307" s="57" t="n">
        <x:f>ROUND(MIN('Premissas'!$B$6,L307+N307),1)</x:f>
        <x:v>782</x:v>
      </x:c>
      <x:c r="N307" s="57" t="n">
        <x:f>ROUND('Premissas'!$B$7*J307*SQRT(10/F307)*4*H307*(1-H307),1)</x:f>
        <x:v>44.4</x:v>
      </x:c>
      <x:c r="O307" s="56" t="str">
        <x:v>PROVISÓRIA</x:v>
      </x:c>
    </x:row>
    <x:row r="308">
      <x:c r="A308" s="66" t="str">
        <x:v>Escala comum 7º–9º</x:v>
      </x:c>
      <x:c r="B308" s="66" t="str">
        <x:v>8º ano</x:v>
      </x:c>
      <x:c r="C308" s="66" t="str">
        <x:v>MODELO_8_ANO</x:v>
      </x:c>
      <x:c r="D308" s="66" t="str">
        <x:v>CH</x:v>
      </x:c>
      <x:c r="E308" s="66" t="str">
        <x:v>Ciências Humanas</x:v>
      </x:c>
      <x:c r="F308" s="66" t="n">
        <x:v>15</x:v>
      </x:c>
      <x:c r="G308" s="66" t="n">
        <x:v>13</x:v>
      </x:c>
      <x:c r="H308" s="67" t="n">
        <x:f>G308/F308</x:f>
        <x:v>0.8666666666666667</x:v>
      </x:c>
      <x:c r="I308" s="68" t="n">
        <x:f>'Premissas'!$B$14</x:f>
        <x:v>0</x:v>
      </x:c>
      <x:c r="J308" s="68" t="n">
        <x:f>'Premissas'!$G$15</x:f>
        <x:v>1</x:v>
      </x:c>
      <x:c r="K308" s="69" t="n">
        <x:f>ROUND(MAX('Premissas'!$B$5,L308-N308),1)</x:f>
        <x:v>738.7</x:v>
      </x:c>
      <x:c r="L308" s="69" t="n">
        <x:f>ROUND(MAX('Premissas'!$B$5,MIN('Premissas'!$B$6,'Premissas'!$B$5+('Premissas'!$B$6-'Premissas'!$B$5)*(3*H308^2-2*H308^3)+I308*4*H308*(1-H308))),1)</x:f>
        <x:v>770.8</x:v>
      </x:c>
      <x:c r="M308" s="69" t="n">
        <x:f>ROUND(MIN('Premissas'!$B$6,L308+N308),1)</x:f>
        <x:v>800</x:v>
      </x:c>
      <x:c r="N308" s="69" t="n">
        <x:f>ROUND('Premissas'!$B$7*J308*SQRT(10/F308)*4*H308*(1-H308),1)</x:f>
        <x:v>32.1</x:v>
      </x:c>
      <x:c r="O308" s="66" t="str">
        <x:v>PROVISÓRIA</x:v>
      </x:c>
    </x:row>
    <x:row r="309">
      <x:c r="A309" s="56" t="str">
        <x:v>Escala comum 7º–9º</x:v>
      </x:c>
      <x:c r="B309" s="56" t="str">
        <x:v>8º ano</x:v>
      </x:c>
      <x:c r="C309" s="56" t="str">
        <x:v>MODELO_8_ANO</x:v>
      </x:c>
      <x:c r="D309" s="56" t="str">
        <x:v>CH</x:v>
      </x:c>
      <x:c r="E309" s="56" t="str">
        <x:v>Ciências Humanas</x:v>
      </x:c>
      <x:c r="F309" s="56" t="n">
        <x:v>15</x:v>
      </x:c>
      <x:c r="G309" s="56" t="n">
        <x:v>14</x:v>
      </x:c>
      <x:c r="H309" s="70" t="n">
        <x:f>G309/F309</x:f>
        <x:v>0.9333333333333333</x:v>
      </x:c>
      <x:c r="I309" s="59" t="n">
        <x:f>'Premissas'!$B$14</x:f>
        <x:v>0</x:v>
      </x:c>
      <x:c r="J309" s="59" t="n">
        <x:f>'Premissas'!$G$15</x:f>
        <x:v>1</x:v>
      </x:c>
      <x:c r="K309" s="57" t="n">
        <x:f>ROUND(MAX('Premissas'!$B$5,L309-N309),1)</x:f>
        <x:v>775.1</x:v>
      </x:c>
      <x:c r="L309" s="57" t="n">
        <x:f>ROUND(MAX('Premissas'!$B$5,MIN('Premissas'!$B$6,'Premissas'!$B$5+('Premissas'!$B$6-'Premissas'!$B$5)*(3*H309^2-2*H309^3)+I309*4*H309*(1-H309))),1)</x:f>
        <x:v>792.4</x:v>
      </x:c>
      <x:c r="M309" s="57" t="n">
        <x:f>ROUND(MIN('Premissas'!$B$6,L309+N309),1)</x:f>
        <x:v>800</x:v>
      </x:c>
      <x:c r="N309" s="57" t="n">
        <x:f>ROUND('Premissas'!$B$7*J309*SQRT(10/F309)*4*H309*(1-H309),1)</x:f>
        <x:v>17.3</x:v>
      </x:c>
      <x:c r="O309" s="56" t="str">
        <x:v>PROVISÓRIA</x:v>
      </x:c>
    </x:row>
    <x:row r="310">
      <x:c r="A310" s="66" t="str">
        <x:v>Escala comum 7º–9º</x:v>
      </x:c>
      <x:c r="B310" s="66" t="str">
        <x:v>8º ano</x:v>
      </x:c>
      <x:c r="C310" s="66" t="str">
        <x:v>MODELO_8_ANO</x:v>
      </x:c>
      <x:c r="D310" s="66" t="str">
        <x:v>CH</x:v>
      </x:c>
      <x:c r="E310" s="66" t="str">
        <x:v>Ciências Humanas</x:v>
      </x:c>
      <x:c r="F310" s="66" t="n">
        <x:v>15</x:v>
      </x:c>
      <x:c r="G310" s="66" t="n">
        <x:v>15</x:v>
      </x:c>
      <x:c r="H310" s="67" t="n">
        <x:f>G310/F310</x:f>
        <x:v>1</x:v>
      </x:c>
      <x:c r="I310" s="68" t="n">
        <x:f>'Premissas'!$B$14</x:f>
        <x:v>0</x:v>
      </x:c>
      <x:c r="J310" s="68" t="n">
        <x:f>'Premissas'!$G$15</x:f>
        <x:v>1</x:v>
      </x:c>
      <x:c r="K310" s="69" t="n">
        <x:f>ROUND(MAX('Premissas'!$B$5,L310-N310),1)</x:f>
        <x:v>800</x:v>
      </x:c>
      <x:c r="L310" s="69" t="n">
        <x:f>ROUND(MAX('Premissas'!$B$5,MIN('Premissas'!$B$6,'Premissas'!$B$5+('Premissas'!$B$6-'Premissas'!$B$5)*(3*H310^2-2*H310^3)+I310*4*H310*(1-H310))),1)</x:f>
        <x:v>800</x:v>
      </x:c>
      <x:c r="M310" s="69" t="n">
        <x:f>ROUND(MIN('Premissas'!$B$6,L310+N310),1)</x:f>
        <x:v>800</x:v>
      </x:c>
      <x:c r="N310" s="69" t="n">
        <x:f>ROUND('Premissas'!$B$7*J310*SQRT(10/F310)*4*H310*(1-H310),1)</x:f>
        <x:v>0</x:v>
      </x:c>
      <x:c r="O310" s="66" t="str">
        <x:v>PROVISÓRIA</x:v>
      </x:c>
    </x:row>
    <x:row r="311">
      <x:c r="A311" s="56" t="str">
        <x:v>Escala comum 7º–9º</x:v>
      </x:c>
      <x:c r="B311" s="56" t="str">
        <x:v>8º ano</x:v>
      </x:c>
      <x:c r="C311" s="56" t="str">
        <x:v>MODELO_8_ANO</x:v>
      </x:c>
      <x:c r="D311" s="56" t="str">
        <x:v>CN</x:v>
      </x:c>
      <x:c r="E311" s="56" t="str">
        <x:v>Ciências da Natureza</x:v>
      </x:c>
      <x:c r="F311" s="56" t="n">
        <x:v>5</x:v>
      </x:c>
      <x:c r="G311" s="56" t="n">
        <x:v>0</x:v>
      </x:c>
      <x:c r="H311" s="70" t="n">
        <x:f>G311/F311</x:f>
        <x:v>0</x:v>
      </x:c>
      <x:c r="I311" s="59" t="n">
        <x:f>'Premissas'!$B$14</x:f>
        <x:v>0</x:v>
      </x:c>
      <x:c r="J311" s="59" t="n">
        <x:f>'Premissas'!$G$16</x:f>
        <x:v>1</x:v>
      </x:c>
      <x:c r="K311" s="57" t="n">
        <x:f>ROUND(MAX('Premissas'!$B$5,L311-N311),1)</x:f>
        <x:v>200</x:v>
      </x:c>
      <x:c r="L311" s="57" t="n">
        <x:f>ROUND(MAX('Premissas'!$B$5,MIN('Premissas'!$B$6,'Premissas'!$B$5+('Premissas'!$B$6-'Premissas'!$B$5)*(3*H311^2-2*H311^3)+I311*4*H311*(1-H311))),1)</x:f>
        <x:v>200</x:v>
      </x:c>
      <x:c r="M311" s="57" t="n">
        <x:f>ROUND(MIN('Premissas'!$B$6,L311+N311),1)</x:f>
        <x:v>200</x:v>
      </x:c>
      <x:c r="N311" s="57" t="n">
        <x:f>ROUND('Premissas'!$B$7*J311*SQRT(10/F311)*4*H311*(1-H311),1)</x:f>
        <x:v>0</x:v>
      </x:c>
      <x:c r="O311" s="56" t="str">
        <x:v>PROVISÓRIA</x:v>
      </x:c>
    </x:row>
    <x:row r="312">
      <x:c r="A312" s="66" t="str">
        <x:v>Escala comum 7º–9º</x:v>
      </x:c>
      <x:c r="B312" s="66" t="str">
        <x:v>8º ano</x:v>
      </x:c>
      <x:c r="C312" s="66" t="str">
        <x:v>MODELO_8_ANO</x:v>
      </x:c>
      <x:c r="D312" s="66" t="str">
        <x:v>CN</x:v>
      </x:c>
      <x:c r="E312" s="66" t="str">
        <x:v>Ciências da Natureza</x:v>
      </x:c>
      <x:c r="F312" s="66" t="n">
        <x:v>5</x:v>
      </x:c>
      <x:c r="G312" s="66" t="n">
        <x:v>1</x:v>
      </x:c>
      <x:c r="H312" s="67" t="n">
        <x:f>G312/F312</x:f>
        <x:v>0.2</x:v>
      </x:c>
      <x:c r="I312" s="68" t="n">
        <x:f>'Premissas'!$B$14</x:f>
        <x:v>0</x:v>
      </x:c>
      <x:c r="J312" s="68" t="n">
        <x:f>'Premissas'!$G$16</x:f>
        <x:v>1</x:v>
      </x:c>
      <x:c r="K312" s="69" t="n">
        <x:f>ROUND(MAX('Premissas'!$B$5,L312-N312),1)</x:f>
        <x:v>200</x:v>
      </x:c>
      <x:c r="L312" s="69" t="n">
        <x:f>ROUND(MAX('Premissas'!$B$5,MIN('Premissas'!$B$6,'Premissas'!$B$5+('Premissas'!$B$6-'Premissas'!$B$5)*(3*H312^2-2*H312^3)+I312*4*H312*(1-H312))),1)</x:f>
        <x:v>262.4</x:v>
      </x:c>
      <x:c r="M312" s="69" t="n">
        <x:f>ROUND(MIN('Premissas'!$B$6,L312+N312),1)</x:f>
        <x:v>339.3</x:v>
      </x:c>
      <x:c r="N312" s="69" t="n">
        <x:f>ROUND('Premissas'!$B$7*J312*SQRT(10/F312)*4*H312*(1-H312),1)</x:f>
        <x:v>76.9</x:v>
      </x:c>
      <x:c r="O312" s="66" t="str">
        <x:v>PROVISÓRIA</x:v>
      </x:c>
    </x:row>
    <x:row r="313">
      <x:c r="A313" s="56" t="str">
        <x:v>Escala comum 7º–9º</x:v>
      </x:c>
      <x:c r="B313" s="56" t="str">
        <x:v>8º ano</x:v>
      </x:c>
      <x:c r="C313" s="56" t="str">
        <x:v>MODELO_8_ANO</x:v>
      </x:c>
      <x:c r="D313" s="56" t="str">
        <x:v>CN</x:v>
      </x:c>
      <x:c r="E313" s="56" t="str">
        <x:v>Ciências da Natureza</x:v>
      </x:c>
      <x:c r="F313" s="56" t="n">
        <x:v>5</x:v>
      </x:c>
      <x:c r="G313" s="56" t="n">
        <x:v>2</x:v>
      </x:c>
      <x:c r="H313" s="70" t="n">
        <x:f>G313/F313</x:f>
        <x:v>0.4</x:v>
      </x:c>
      <x:c r="I313" s="59" t="n">
        <x:f>'Premissas'!$B$14</x:f>
        <x:v>0</x:v>
      </x:c>
      <x:c r="J313" s="59" t="n">
        <x:f>'Premissas'!$G$16</x:f>
        <x:v>1</x:v>
      </x:c>
      <x:c r="K313" s="57" t="n">
        <x:f>ROUND(MAX('Premissas'!$B$5,L313-N313),1)</x:f>
        <x:v>295.8</x:v>
      </x:c>
      <x:c r="L313" s="57" t="n">
        <x:f>ROUND(MAX('Premissas'!$B$5,MIN('Premissas'!$B$6,'Premissas'!$B$5+('Premissas'!$B$6-'Premissas'!$B$5)*(3*H313^2-2*H313^3)+I313*4*H313*(1-H313))),1)</x:f>
        <x:v>411.2</x:v>
      </x:c>
      <x:c r="M313" s="57" t="n">
        <x:f>ROUND(MIN('Premissas'!$B$6,L313+N313),1)</x:f>
        <x:v>526.6</x:v>
      </x:c>
      <x:c r="N313" s="57" t="n">
        <x:f>ROUND('Premissas'!$B$7*J313*SQRT(10/F313)*4*H313*(1-H313),1)</x:f>
        <x:v>115.4</x:v>
      </x:c>
      <x:c r="O313" s="56" t="str">
        <x:v>PROVISÓRIA</x:v>
      </x:c>
    </x:row>
    <x:row r="314">
      <x:c r="A314" s="66" t="str">
        <x:v>Escala comum 7º–9º</x:v>
      </x:c>
      <x:c r="B314" s="66" t="str">
        <x:v>8º ano</x:v>
      </x:c>
      <x:c r="C314" s="66" t="str">
        <x:v>MODELO_8_ANO</x:v>
      </x:c>
      <x:c r="D314" s="66" t="str">
        <x:v>CN</x:v>
      </x:c>
      <x:c r="E314" s="66" t="str">
        <x:v>Ciências da Natureza</x:v>
      </x:c>
      <x:c r="F314" s="66" t="n">
        <x:v>5</x:v>
      </x:c>
      <x:c r="G314" s="66" t="n">
        <x:v>3</x:v>
      </x:c>
      <x:c r="H314" s="67" t="n">
        <x:f>G314/F314</x:f>
        <x:v>0.6</x:v>
      </x:c>
      <x:c r="I314" s="68" t="n">
        <x:f>'Premissas'!$B$14</x:f>
        <x:v>0</x:v>
      </x:c>
      <x:c r="J314" s="68" t="n">
        <x:f>'Premissas'!$G$16</x:f>
        <x:v>1</x:v>
      </x:c>
      <x:c r="K314" s="69" t="n">
        <x:f>ROUND(MAX('Premissas'!$B$5,L314-N314),1)</x:f>
        <x:v>473.4</x:v>
      </x:c>
      <x:c r="L314" s="69" t="n">
        <x:f>ROUND(MAX('Premissas'!$B$5,MIN('Premissas'!$B$6,'Premissas'!$B$5+('Premissas'!$B$6-'Premissas'!$B$5)*(3*H314^2-2*H314^3)+I314*4*H314*(1-H314))),1)</x:f>
        <x:v>588.8</x:v>
      </x:c>
      <x:c r="M314" s="69" t="n">
        <x:f>ROUND(MIN('Premissas'!$B$6,L314+N314),1)</x:f>
        <x:v>704.2</x:v>
      </x:c>
      <x:c r="N314" s="69" t="n">
        <x:f>ROUND('Premissas'!$B$7*J314*SQRT(10/F314)*4*H314*(1-H314),1)</x:f>
        <x:v>115.4</x:v>
      </x:c>
      <x:c r="O314" s="66" t="str">
        <x:v>PROVISÓRIA</x:v>
      </x:c>
    </x:row>
    <x:row r="315">
      <x:c r="A315" s="56" t="str">
        <x:v>Escala comum 7º–9º</x:v>
      </x:c>
      <x:c r="B315" s="56" t="str">
        <x:v>8º ano</x:v>
      </x:c>
      <x:c r="C315" s="56" t="str">
        <x:v>MODELO_8_ANO</x:v>
      </x:c>
      <x:c r="D315" s="56" t="str">
        <x:v>CN</x:v>
      </x:c>
      <x:c r="E315" s="56" t="str">
        <x:v>Ciências da Natureza</x:v>
      </x:c>
      <x:c r="F315" s="56" t="n">
        <x:v>5</x:v>
      </x:c>
      <x:c r="G315" s="56" t="n">
        <x:v>4</x:v>
      </x:c>
      <x:c r="H315" s="70" t="n">
        <x:f>G315/F315</x:f>
        <x:v>0.8</x:v>
      </x:c>
      <x:c r="I315" s="59" t="n">
        <x:f>'Premissas'!$B$14</x:f>
        <x:v>0</x:v>
      </x:c>
      <x:c r="J315" s="59" t="n">
        <x:f>'Premissas'!$G$16</x:f>
        <x:v>1</x:v>
      </x:c>
      <x:c r="K315" s="57" t="n">
        <x:f>ROUND(MAX('Premissas'!$B$5,L315-N315),1)</x:f>
        <x:v>660.7</x:v>
      </x:c>
      <x:c r="L315" s="57" t="n">
        <x:f>ROUND(MAX('Premissas'!$B$5,MIN('Premissas'!$B$6,'Premissas'!$B$5+('Premissas'!$B$6-'Premissas'!$B$5)*(3*H315^2-2*H315^3)+I315*4*H315*(1-H315))),1)</x:f>
        <x:v>737.6</x:v>
      </x:c>
      <x:c r="M315" s="57" t="n">
        <x:f>ROUND(MIN('Premissas'!$B$6,L315+N315),1)</x:f>
        <x:v>800</x:v>
      </x:c>
      <x:c r="N315" s="57" t="n">
        <x:f>ROUND('Premissas'!$B$7*J315*SQRT(10/F315)*4*H315*(1-H315),1)</x:f>
        <x:v>76.9</x:v>
      </x:c>
      <x:c r="O315" s="56" t="str">
        <x:v>PROVISÓRIA</x:v>
      </x:c>
    </x:row>
    <x:row r="316">
      <x:c r="A316" s="66" t="str">
        <x:v>Escala comum 7º–9º</x:v>
      </x:c>
      <x:c r="B316" s="66" t="str">
        <x:v>8º ano</x:v>
      </x:c>
      <x:c r="C316" s="66" t="str">
        <x:v>MODELO_8_ANO</x:v>
      </x:c>
      <x:c r="D316" s="66" t="str">
        <x:v>CN</x:v>
      </x:c>
      <x:c r="E316" s="66" t="str">
        <x:v>Ciências da Natureza</x:v>
      </x:c>
      <x:c r="F316" s="66" t="n">
        <x:v>5</x:v>
      </x:c>
      <x:c r="G316" s="66" t="n">
        <x:v>5</x:v>
      </x:c>
      <x:c r="H316" s="67" t="n">
        <x:f>G316/F316</x:f>
        <x:v>1</x:v>
      </x:c>
      <x:c r="I316" s="68" t="n">
        <x:f>'Premissas'!$B$14</x:f>
        <x:v>0</x:v>
      </x:c>
      <x:c r="J316" s="68" t="n">
        <x:f>'Premissas'!$G$16</x:f>
        <x:v>1</x:v>
      </x:c>
      <x:c r="K316" s="69" t="n">
        <x:f>ROUND(MAX('Premissas'!$B$5,L316-N316),1)</x:f>
        <x:v>800</x:v>
      </x:c>
      <x:c r="L316" s="69" t="n">
        <x:f>ROUND(MAX('Premissas'!$B$5,MIN('Premissas'!$B$6,'Premissas'!$B$5+('Premissas'!$B$6-'Premissas'!$B$5)*(3*H316^2-2*H316^3)+I316*4*H316*(1-H316))),1)</x:f>
        <x:v>800</x:v>
      </x:c>
      <x:c r="M316" s="69" t="n">
        <x:f>ROUND(MIN('Premissas'!$B$6,L316+N316),1)</x:f>
        <x:v>800</x:v>
      </x:c>
      <x:c r="N316" s="69" t="n">
        <x:f>ROUND('Premissas'!$B$7*J316*SQRT(10/F316)*4*H316*(1-H316),1)</x:f>
        <x:v>0</x:v>
      </x:c>
      <x:c r="O316" s="66" t="str">
        <x:v>PROVISÓRIA</x:v>
      </x:c>
    </x:row>
    <x:row r="317">
      <x:c r="A317" s="56" t="str">
        <x:v>Escala comum 7º–9º</x:v>
      </x:c>
      <x:c r="B317" s="56" t="str">
        <x:v>9º ano</x:v>
      </x:c>
      <x:c r="C317" s="56" t="str">
        <x:v>MODELO_9_ANO</x:v>
      </x:c>
      <x:c r="D317" s="56" t="str">
        <x:v>GERAL</x:v>
      </x:c>
      <x:c r="E317" s="56" t="str">
        <x:v>Geral (total bruto)</x:v>
      </x:c>
      <x:c r="F317" s="56" t="n">
        <x:v>60</x:v>
      </x:c>
      <x:c r="G317" s="56" t="n">
        <x:v>0</x:v>
      </x:c>
      <x:c r="H317" s="70" t="n">
        <x:f>G317/F317</x:f>
        <x:v>0</x:v>
      </x:c>
      <x:c r="I317" s="59" t="n">
        <x:f>'Premissas'!$B$15</x:f>
        <x:v>50</x:v>
      </x:c>
      <x:c r="J317" s="59" t="n">
        <x:f>'Premissas'!$G$12</x:f>
        <x:v>1</x:v>
      </x:c>
      <x:c r="K317" s="57" t="n">
        <x:f>ROUND(MAX('Premissas'!$B$5,L317-N317),1)</x:f>
        <x:v>200</x:v>
      </x:c>
      <x:c r="L317" s="57" t="n">
        <x:f>ROUND(MAX('Premissas'!$B$5,MIN('Premissas'!$B$6,'Premissas'!$B$5+('Premissas'!$B$6-'Premissas'!$B$5)*(3*H317^2-2*H317^3)+I317*4*H317*(1-H317))),1)</x:f>
        <x:v>200</x:v>
      </x:c>
      <x:c r="M317" s="57" t="n">
        <x:f>ROUND(MIN('Premissas'!$B$6,L317+N317),1)</x:f>
        <x:v>200</x:v>
      </x:c>
      <x:c r="N317" s="57" t="n">
        <x:f>ROUND('Premissas'!$B$7*J317*SQRT(10/F317)*4*H317*(1-H317),1)</x:f>
        <x:v>0</x:v>
      </x:c>
      <x:c r="O317" s="56" t="str">
        <x:v>PROVISÓRIA</x:v>
      </x:c>
    </x:row>
    <x:row r="318">
      <x:c r="A318" s="66" t="str">
        <x:v>Escala comum 7º–9º</x:v>
      </x:c>
      <x:c r="B318" s="66" t="str">
        <x:v>9º ano</x:v>
      </x:c>
      <x:c r="C318" s="66" t="str">
        <x:v>MODELO_9_ANO</x:v>
      </x:c>
      <x:c r="D318" s="66" t="str">
        <x:v>GERAL</x:v>
      </x:c>
      <x:c r="E318" s="66" t="str">
        <x:v>Geral (total bruto)</x:v>
      </x:c>
      <x:c r="F318" s="66" t="n">
        <x:v>60</x:v>
      </x:c>
      <x:c r="G318" s="66" t="n">
        <x:v>1</x:v>
      </x:c>
      <x:c r="H318" s="67" t="n">
        <x:f>G318/F318</x:f>
        <x:v>0.016666666666666666</x:v>
      </x:c>
      <x:c r="I318" s="68" t="n">
        <x:f>'Premissas'!$B$15</x:f>
        <x:v>50</x:v>
      </x:c>
      <x:c r="J318" s="68" t="n">
        <x:f>'Premissas'!$G$12</x:f>
        <x:v>1</x:v>
      </x:c>
      <x:c r="K318" s="69" t="n">
        <x:f>ROUND(MAX('Premissas'!$B$5,L318-N318),1)</x:f>
        <x:v>201.5</x:v>
      </x:c>
      <x:c r="L318" s="69" t="n">
        <x:f>ROUND(MAX('Premissas'!$B$5,MIN('Premissas'!$B$6,'Premissas'!$B$5+('Premissas'!$B$6-'Premissas'!$B$5)*(3*H318^2-2*H318^3)+I318*4*H318*(1-H318))),1)</x:f>
        <x:v>203.8</x:v>
      </x:c>
      <x:c r="M318" s="69" t="n">
        <x:f>ROUND(MIN('Premissas'!$B$6,L318+N318),1)</x:f>
        <x:v>206.1</x:v>
      </x:c>
      <x:c r="N318" s="69" t="n">
        <x:f>ROUND('Premissas'!$B$7*J318*SQRT(10/F318)*4*H318*(1-H318),1)</x:f>
        <x:v>2.3</x:v>
      </x:c>
      <x:c r="O318" s="66" t="str">
        <x:v>PROVISÓRIA</x:v>
      </x:c>
    </x:row>
    <x:row r="319">
      <x:c r="A319" s="56" t="str">
        <x:v>Escala comum 7º–9º</x:v>
      </x:c>
      <x:c r="B319" s="56" t="str">
        <x:v>9º ano</x:v>
      </x:c>
      <x:c r="C319" s="56" t="str">
        <x:v>MODELO_9_ANO</x:v>
      </x:c>
      <x:c r="D319" s="56" t="str">
        <x:v>GERAL</x:v>
      </x:c>
      <x:c r="E319" s="56" t="str">
        <x:v>Geral (total bruto)</x:v>
      </x:c>
      <x:c r="F319" s="56" t="n">
        <x:v>60</x:v>
      </x:c>
      <x:c r="G319" s="56" t="n">
        <x:v>2</x:v>
      </x:c>
      <x:c r="H319" s="70" t="n">
        <x:f>G319/F319</x:f>
        <x:v>0.03333333333333333</x:v>
      </x:c>
      <x:c r="I319" s="59" t="n">
        <x:f>'Premissas'!$B$15</x:f>
        <x:v>50</x:v>
      </x:c>
      <x:c r="J319" s="59" t="n">
        <x:f>'Premissas'!$G$12</x:f>
        <x:v>1</x:v>
      </x:c>
      <x:c r="K319" s="57" t="n">
        <x:f>ROUND(MAX('Premissas'!$B$5,L319-N319),1)</x:f>
        <x:v>203.9</x:v>
      </x:c>
      <x:c r="L319" s="57" t="n">
        <x:f>ROUND(MAX('Premissas'!$B$5,MIN('Premissas'!$B$6,'Premissas'!$B$5+('Premissas'!$B$6-'Premissas'!$B$5)*(3*H319^2-2*H319^3)+I319*4*H319*(1-H319))),1)</x:f>
        <x:v>208.4</x:v>
      </x:c>
      <x:c r="M319" s="57" t="n">
        <x:f>ROUND(MIN('Premissas'!$B$6,L319+N319),1)</x:f>
        <x:v>212.9</x:v>
      </x:c>
      <x:c r="N319" s="57" t="n">
        <x:f>ROUND('Premissas'!$B$7*J319*SQRT(10/F319)*4*H319*(1-H319),1)</x:f>
        <x:v>4.5</x:v>
      </x:c>
      <x:c r="O319" s="56" t="str">
        <x:v>PROVISÓRIA</x:v>
      </x:c>
    </x:row>
    <x:row r="320">
      <x:c r="A320" s="66" t="str">
        <x:v>Escala comum 7º–9º</x:v>
      </x:c>
      <x:c r="B320" s="66" t="str">
        <x:v>9º ano</x:v>
      </x:c>
      <x:c r="C320" s="66" t="str">
        <x:v>MODELO_9_ANO</x:v>
      </x:c>
      <x:c r="D320" s="66" t="str">
        <x:v>GERAL</x:v>
      </x:c>
      <x:c r="E320" s="66" t="str">
        <x:v>Geral (total bruto)</x:v>
      </x:c>
      <x:c r="F320" s="66" t="n">
        <x:v>60</x:v>
      </x:c>
      <x:c r="G320" s="66" t="n">
        <x:v>3</x:v>
      </x:c>
      <x:c r="H320" s="67" t="n">
        <x:f>G320/F320</x:f>
        <x:v>0.05</x:v>
      </x:c>
      <x:c r="I320" s="68" t="n">
        <x:f>'Premissas'!$B$15</x:f>
        <x:v>50</x:v>
      </x:c>
      <x:c r="J320" s="68" t="n">
        <x:f>'Premissas'!$G$12</x:f>
        <x:v>1</x:v>
      </x:c>
      <x:c r="K320" s="69" t="n">
        <x:f>ROUND(MAX('Premissas'!$B$5,L320-N320),1)</x:f>
        <x:v>207.3</x:v>
      </x:c>
      <x:c r="L320" s="69" t="n">
        <x:f>ROUND(MAX('Premissas'!$B$5,MIN('Premissas'!$B$6,'Premissas'!$B$5+('Premissas'!$B$6-'Premissas'!$B$5)*(3*H320^2-2*H320^3)+I320*4*H320*(1-H320))),1)</x:f>
        <x:v>213.9</x:v>
      </x:c>
      <x:c r="M320" s="69" t="n">
        <x:f>ROUND(MIN('Premissas'!$B$6,L320+N320),1)</x:f>
        <x:v>220.5</x:v>
      </x:c>
      <x:c r="N320" s="69" t="n">
        <x:f>ROUND('Premissas'!$B$7*J320*SQRT(10/F320)*4*H320*(1-H320),1)</x:f>
        <x:v>6.6</x:v>
      </x:c>
      <x:c r="O320" s="66" t="str">
        <x:v>PROVISÓRIA</x:v>
      </x:c>
    </x:row>
    <x:row r="321">
      <x:c r="A321" s="56" t="str">
        <x:v>Escala comum 7º–9º</x:v>
      </x:c>
      <x:c r="B321" s="56" t="str">
        <x:v>9º ano</x:v>
      </x:c>
      <x:c r="C321" s="56" t="str">
        <x:v>MODELO_9_ANO</x:v>
      </x:c>
      <x:c r="D321" s="56" t="str">
        <x:v>GERAL</x:v>
      </x:c>
      <x:c r="E321" s="56" t="str">
        <x:v>Geral (total bruto)</x:v>
      </x:c>
      <x:c r="F321" s="56" t="n">
        <x:v>60</x:v>
      </x:c>
      <x:c r="G321" s="56" t="n">
        <x:v>4</x:v>
      </x:c>
      <x:c r="H321" s="70" t="n">
        <x:f>G321/F321</x:f>
        <x:v>0.06666666666666667</x:v>
      </x:c>
      <x:c r="I321" s="59" t="n">
        <x:f>'Premissas'!$B$15</x:f>
        <x:v>50</x:v>
      </x:c>
      <x:c r="J321" s="59" t="n">
        <x:f>'Premissas'!$G$12</x:f>
        <x:v>1</x:v>
      </x:c>
      <x:c r="K321" s="57" t="n">
        <x:f>ROUND(MAX('Premissas'!$B$5,L321-N321),1)</x:f>
        <x:v>211.5</x:v>
      </x:c>
      <x:c r="L321" s="57" t="n">
        <x:f>ROUND(MAX('Premissas'!$B$5,MIN('Premissas'!$B$6,'Premissas'!$B$5+('Premissas'!$B$6-'Premissas'!$B$5)*(3*H321^2-2*H321^3)+I321*4*H321*(1-H321))),1)</x:f>
        <x:v>220.1</x:v>
      </x:c>
      <x:c r="M321" s="57" t="n">
        <x:f>ROUND(MIN('Premissas'!$B$6,L321+N321),1)</x:f>
        <x:v>228.7</x:v>
      </x:c>
      <x:c r="N321" s="57" t="n">
        <x:f>ROUND('Premissas'!$B$7*J321*SQRT(10/F321)*4*H321*(1-H321),1)</x:f>
        <x:v>8.6</x:v>
      </x:c>
      <x:c r="O321" s="56" t="str">
        <x:v>PROVISÓRIA</x:v>
      </x:c>
    </x:row>
    <x:row r="322">
      <x:c r="A322" s="66" t="str">
        <x:v>Escala comum 7º–9º</x:v>
      </x:c>
      <x:c r="B322" s="66" t="str">
        <x:v>9º ano</x:v>
      </x:c>
      <x:c r="C322" s="66" t="str">
        <x:v>MODELO_9_ANO</x:v>
      </x:c>
      <x:c r="D322" s="66" t="str">
        <x:v>GERAL</x:v>
      </x:c>
      <x:c r="E322" s="66" t="str">
        <x:v>Geral (total bruto)</x:v>
      </x:c>
      <x:c r="F322" s="66" t="n">
        <x:v>60</x:v>
      </x:c>
      <x:c r="G322" s="66" t="n">
        <x:v>5</x:v>
      </x:c>
      <x:c r="H322" s="67" t="n">
        <x:f>G322/F322</x:f>
        <x:v>0.08333333333333333</x:v>
      </x:c>
      <x:c r="I322" s="68" t="n">
        <x:f>'Premissas'!$B$15</x:f>
        <x:v>50</x:v>
      </x:c>
      <x:c r="J322" s="68" t="n">
        <x:f>'Premissas'!$G$12</x:f>
        <x:v>1</x:v>
      </x:c>
      <x:c r="K322" s="69" t="n">
        <x:f>ROUND(MAX('Premissas'!$B$5,L322-N322),1)</x:f>
        <x:v>216.5</x:v>
      </x:c>
      <x:c r="L322" s="69" t="n">
        <x:f>ROUND(MAX('Premissas'!$B$5,MIN('Premissas'!$B$6,'Premissas'!$B$5+('Premissas'!$B$6-'Premissas'!$B$5)*(3*H322^2-2*H322^3)+I322*4*H322*(1-H322))),1)</x:f>
        <x:v>227.1</x:v>
      </x:c>
      <x:c r="M322" s="69" t="n">
        <x:f>ROUND(MIN('Premissas'!$B$6,L322+N322),1)</x:f>
        <x:v>237.7</x:v>
      </x:c>
      <x:c r="N322" s="69" t="n">
        <x:f>ROUND('Premissas'!$B$7*J322*SQRT(10/F322)*4*H322*(1-H322),1)</x:f>
        <x:v>10.6</x:v>
      </x:c>
      <x:c r="O322" s="66" t="str">
        <x:v>PROVISÓRIA</x:v>
      </x:c>
    </x:row>
    <x:row r="323">
      <x:c r="A323" s="56" t="str">
        <x:v>Escala comum 7º–9º</x:v>
      </x:c>
      <x:c r="B323" s="56" t="str">
        <x:v>9º ano</x:v>
      </x:c>
      <x:c r="C323" s="56" t="str">
        <x:v>MODELO_9_ANO</x:v>
      </x:c>
      <x:c r="D323" s="56" t="str">
        <x:v>GERAL</x:v>
      </x:c>
      <x:c r="E323" s="56" t="str">
        <x:v>Geral (total bruto)</x:v>
      </x:c>
      <x:c r="F323" s="56" t="n">
        <x:v>60</x:v>
      </x:c>
      <x:c r="G323" s="56" t="n">
        <x:v>6</x:v>
      </x:c>
      <x:c r="H323" s="70" t="n">
        <x:f>G323/F323</x:f>
        <x:v>0.1</x:v>
      </x:c>
      <x:c r="I323" s="59" t="n">
        <x:f>'Premissas'!$B$15</x:f>
        <x:v>50</x:v>
      </x:c>
      <x:c r="J323" s="59" t="n">
        <x:f>'Premissas'!$G$12</x:f>
        <x:v>1</x:v>
      </x:c>
      <x:c r="K323" s="57" t="n">
        <x:f>ROUND(MAX('Premissas'!$B$5,L323-N323),1)</x:f>
        <x:v>222.3</x:v>
      </x:c>
      <x:c r="L323" s="57" t="n">
        <x:f>ROUND(MAX('Premissas'!$B$5,MIN('Premissas'!$B$6,'Premissas'!$B$5+('Premissas'!$B$6-'Premissas'!$B$5)*(3*H323^2-2*H323^3)+I323*4*H323*(1-H323))),1)</x:f>
        <x:v>234.8</x:v>
      </x:c>
      <x:c r="M323" s="57" t="n">
        <x:f>ROUND(MIN('Premissas'!$B$6,L323+N323),1)</x:f>
        <x:v>247.3</x:v>
      </x:c>
      <x:c r="N323" s="57" t="n">
        <x:f>ROUND('Premissas'!$B$7*J323*SQRT(10/F323)*4*H323*(1-H323),1)</x:f>
        <x:v>12.5</x:v>
      </x:c>
      <x:c r="O323" s="56" t="str">
        <x:v>PROVISÓRIA</x:v>
      </x:c>
    </x:row>
    <x:row r="324">
      <x:c r="A324" s="66" t="str">
        <x:v>Escala comum 7º–9º</x:v>
      </x:c>
      <x:c r="B324" s="66" t="str">
        <x:v>9º ano</x:v>
      </x:c>
      <x:c r="C324" s="66" t="str">
        <x:v>MODELO_9_ANO</x:v>
      </x:c>
      <x:c r="D324" s="66" t="str">
        <x:v>GERAL</x:v>
      </x:c>
      <x:c r="E324" s="66" t="str">
        <x:v>Geral (total bruto)</x:v>
      </x:c>
      <x:c r="F324" s="66" t="n">
        <x:v>60</x:v>
      </x:c>
      <x:c r="G324" s="66" t="n">
        <x:v>7</x:v>
      </x:c>
      <x:c r="H324" s="67" t="n">
        <x:f>G324/F324</x:f>
        <x:v>0.11666666666666667</x:v>
      </x:c>
      <x:c r="I324" s="68" t="n">
        <x:f>'Premissas'!$B$15</x:f>
        <x:v>50</x:v>
      </x:c>
      <x:c r="J324" s="68" t="n">
        <x:f>'Premissas'!$G$12</x:f>
        <x:v>1</x:v>
      </x:c>
      <x:c r="K324" s="69" t="n">
        <x:f>ROUND(MAX('Premissas'!$B$5,L324-N324),1)</x:f>
        <x:v>228.9</x:v>
      </x:c>
      <x:c r="L324" s="69" t="n">
        <x:f>ROUND(MAX('Premissas'!$B$5,MIN('Premissas'!$B$6,'Premissas'!$B$5+('Premissas'!$B$6-'Premissas'!$B$5)*(3*H324^2-2*H324^3)+I324*4*H324*(1-H324))),1)</x:f>
        <x:v>243.2</x:v>
      </x:c>
      <x:c r="M324" s="69" t="n">
        <x:f>ROUND(MIN('Premissas'!$B$6,L324+N324),1)</x:f>
        <x:v>257.5</x:v>
      </x:c>
      <x:c r="N324" s="69" t="n">
        <x:f>ROUND('Premissas'!$B$7*J324*SQRT(10/F324)*4*H324*(1-H324),1)</x:f>
        <x:v>14.3</x:v>
      </x:c>
      <x:c r="O324" s="66" t="str">
        <x:v>PROVISÓRIA</x:v>
      </x:c>
    </x:row>
    <x:row r="325">
      <x:c r="A325" s="56" t="str">
        <x:v>Escala comum 7º–9º</x:v>
      </x:c>
      <x:c r="B325" s="56" t="str">
        <x:v>9º ano</x:v>
      </x:c>
      <x:c r="C325" s="56" t="str">
        <x:v>MODELO_9_ANO</x:v>
      </x:c>
      <x:c r="D325" s="56" t="str">
        <x:v>GERAL</x:v>
      </x:c>
      <x:c r="E325" s="56" t="str">
        <x:v>Geral (total bruto)</x:v>
      </x:c>
      <x:c r="F325" s="56" t="n">
        <x:v>60</x:v>
      </x:c>
      <x:c r="G325" s="56" t="n">
        <x:v>8</x:v>
      </x:c>
      <x:c r="H325" s="70" t="n">
        <x:f>G325/F325</x:f>
        <x:v>0.13333333333333333</x:v>
      </x:c>
      <x:c r="I325" s="59" t="n">
        <x:f>'Premissas'!$B$15</x:f>
        <x:v>50</x:v>
      </x:c>
      <x:c r="J325" s="59" t="n">
        <x:f>'Premissas'!$G$12</x:f>
        <x:v>1</x:v>
      </x:c>
      <x:c r="K325" s="57" t="n">
        <x:f>ROUND(MAX('Premissas'!$B$5,L325-N325),1)</x:f>
        <x:v>236.3</x:v>
      </x:c>
      <x:c r="L325" s="57" t="n">
        <x:f>ROUND(MAX('Premissas'!$B$5,MIN('Premissas'!$B$6,'Premissas'!$B$5+('Premissas'!$B$6-'Premissas'!$B$5)*(3*H325^2-2*H325^3)+I325*4*H325*(1-H325))),1)</x:f>
        <x:v>252.3</x:v>
      </x:c>
      <x:c r="M325" s="57" t="n">
        <x:f>ROUND(MIN('Premissas'!$B$6,L325+N325),1)</x:f>
        <x:v>268.3</x:v>
      </x:c>
      <x:c r="N325" s="57" t="n">
        <x:f>ROUND('Premissas'!$B$7*J325*SQRT(10/F325)*4*H325*(1-H325),1)</x:f>
        <x:v>16</x:v>
      </x:c>
      <x:c r="O325" s="56" t="str">
        <x:v>PROVISÓRIA</x:v>
      </x:c>
    </x:row>
    <x:row r="326">
      <x:c r="A326" s="66" t="str">
        <x:v>Escala comum 7º–9º</x:v>
      </x:c>
      <x:c r="B326" s="66" t="str">
        <x:v>9º ano</x:v>
      </x:c>
      <x:c r="C326" s="66" t="str">
        <x:v>MODELO_9_ANO</x:v>
      </x:c>
      <x:c r="D326" s="66" t="str">
        <x:v>GERAL</x:v>
      </x:c>
      <x:c r="E326" s="66" t="str">
        <x:v>Geral (total bruto)</x:v>
      </x:c>
      <x:c r="F326" s="66" t="n">
        <x:v>60</x:v>
      </x:c>
      <x:c r="G326" s="66" t="n">
        <x:v>9</x:v>
      </x:c>
      <x:c r="H326" s="67" t="n">
        <x:f>G326/F326</x:f>
        <x:v>0.15</x:v>
      </x:c>
      <x:c r="I326" s="68" t="n">
        <x:f>'Premissas'!$B$15</x:f>
        <x:v>50</x:v>
      </x:c>
      <x:c r="J326" s="68" t="n">
        <x:f>'Premissas'!$G$12</x:f>
        <x:v>1</x:v>
      </x:c>
      <x:c r="K326" s="69" t="n">
        <x:f>ROUND(MAX('Premissas'!$B$5,L326-N326),1)</x:f>
        <x:v>244.3</x:v>
      </x:c>
      <x:c r="L326" s="69" t="n">
        <x:f>ROUND(MAX('Premissas'!$B$5,MIN('Premissas'!$B$6,'Premissas'!$B$5+('Premissas'!$B$6-'Premissas'!$B$5)*(3*H326^2-2*H326^3)+I326*4*H326*(1-H326))),1)</x:f>
        <x:v>262</x:v>
      </x:c>
      <x:c r="M326" s="69" t="n">
        <x:f>ROUND(MIN('Premissas'!$B$6,L326+N326),1)</x:f>
        <x:v>279.7</x:v>
      </x:c>
      <x:c r="N326" s="69" t="n">
        <x:f>ROUND('Premissas'!$B$7*J326*SQRT(10/F326)*4*H326*(1-H326),1)</x:f>
        <x:v>17.7</x:v>
      </x:c>
      <x:c r="O326" s="66" t="str">
        <x:v>PROVISÓRIA</x:v>
      </x:c>
    </x:row>
    <x:row r="327">
      <x:c r="A327" s="56" t="str">
        <x:v>Escala comum 7º–9º</x:v>
      </x:c>
      <x:c r="B327" s="56" t="str">
        <x:v>9º ano</x:v>
      </x:c>
      <x:c r="C327" s="56" t="str">
        <x:v>MODELO_9_ANO</x:v>
      </x:c>
      <x:c r="D327" s="56" t="str">
        <x:v>GERAL</x:v>
      </x:c>
      <x:c r="E327" s="56" t="str">
        <x:v>Geral (total bruto)</x:v>
      </x:c>
      <x:c r="F327" s="56" t="n">
        <x:v>60</x:v>
      </x:c>
      <x:c r="G327" s="56" t="n">
        <x:v>10</x:v>
      </x:c>
      <x:c r="H327" s="70" t="n">
        <x:f>G327/F327</x:f>
        <x:v>0.16666666666666666</x:v>
      </x:c>
      <x:c r="I327" s="59" t="n">
        <x:f>'Premissas'!$B$15</x:f>
        <x:v>50</x:v>
      </x:c>
      <x:c r="J327" s="59" t="n">
        <x:f>'Premissas'!$G$12</x:f>
        <x:v>1</x:v>
      </x:c>
      <x:c r="K327" s="57" t="n">
        <x:f>ROUND(MAX('Premissas'!$B$5,L327-N327),1)</x:f>
        <x:v>252.9</x:v>
      </x:c>
      <x:c r="L327" s="57" t="n">
        <x:f>ROUND(MAX('Premissas'!$B$5,MIN('Premissas'!$B$6,'Premissas'!$B$5+('Premissas'!$B$6-'Premissas'!$B$5)*(3*H327^2-2*H327^3)+I327*4*H327*(1-H327))),1)</x:f>
        <x:v>272.2</x:v>
      </x:c>
      <x:c r="M327" s="57" t="n">
        <x:f>ROUND(MIN('Premissas'!$B$6,L327+N327),1)</x:f>
        <x:v>291.5</x:v>
      </x:c>
      <x:c r="N327" s="57" t="n">
        <x:f>ROUND('Premissas'!$B$7*J327*SQRT(10/F327)*4*H327*(1-H327),1)</x:f>
        <x:v>19.3</x:v>
      </x:c>
      <x:c r="O327" s="56" t="str">
        <x:v>PROVISÓRIA</x:v>
      </x:c>
    </x:row>
    <x:row r="328">
      <x:c r="A328" s="66" t="str">
        <x:v>Escala comum 7º–9º</x:v>
      </x:c>
      <x:c r="B328" s="66" t="str">
        <x:v>9º ano</x:v>
      </x:c>
      <x:c r="C328" s="66" t="str">
        <x:v>MODELO_9_ANO</x:v>
      </x:c>
      <x:c r="D328" s="66" t="str">
        <x:v>GERAL</x:v>
      </x:c>
      <x:c r="E328" s="66" t="str">
        <x:v>Geral (total bruto)</x:v>
      </x:c>
      <x:c r="F328" s="66" t="n">
        <x:v>60</x:v>
      </x:c>
      <x:c r="G328" s="66" t="n">
        <x:v>11</x:v>
      </x:c>
      <x:c r="H328" s="67" t="n">
        <x:f>G328/F328</x:f>
        <x:v>0.18333333333333332</x:v>
      </x:c>
      <x:c r="I328" s="68" t="n">
        <x:f>'Premissas'!$B$15</x:f>
        <x:v>50</x:v>
      </x:c>
      <x:c r="J328" s="68" t="n">
        <x:f>'Premissas'!$G$12</x:f>
        <x:v>1</x:v>
      </x:c>
      <x:c r="K328" s="69" t="n">
        <x:f>ROUND(MAX('Premissas'!$B$5,L328-N328),1)</x:f>
        <x:v>262.3</x:v>
      </x:c>
      <x:c r="L328" s="69" t="n">
        <x:f>ROUND(MAX('Premissas'!$B$5,MIN('Premissas'!$B$6,'Premissas'!$B$5+('Premissas'!$B$6-'Premissas'!$B$5)*(3*H328^2-2*H328^3)+I328*4*H328*(1-H328))),1)</x:f>
        <x:v>283.1</x:v>
      </x:c>
      <x:c r="M328" s="69" t="n">
        <x:f>ROUND(MIN('Premissas'!$B$6,L328+N328),1)</x:f>
        <x:v>303.9</x:v>
      </x:c>
      <x:c r="N328" s="69" t="n">
        <x:f>ROUND('Premissas'!$B$7*J328*SQRT(10/F328)*4*H328*(1-H328),1)</x:f>
        <x:v>20.8</x:v>
      </x:c>
      <x:c r="O328" s="66" t="str">
        <x:v>PROVISÓRIA</x:v>
      </x:c>
    </x:row>
    <x:row r="329">
      <x:c r="A329" s="56" t="str">
        <x:v>Escala comum 7º–9º</x:v>
      </x:c>
      <x:c r="B329" s="56" t="str">
        <x:v>9º ano</x:v>
      </x:c>
      <x:c r="C329" s="56" t="str">
        <x:v>MODELO_9_ANO</x:v>
      </x:c>
      <x:c r="D329" s="56" t="str">
        <x:v>GERAL</x:v>
      </x:c>
      <x:c r="E329" s="56" t="str">
        <x:v>Geral (total bruto)</x:v>
      </x:c>
      <x:c r="F329" s="56" t="n">
        <x:v>60</x:v>
      </x:c>
      <x:c r="G329" s="56" t="n">
        <x:v>12</x:v>
      </x:c>
      <x:c r="H329" s="70" t="n">
        <x:f>G329/F329</x:f>
        <x:v>0.2</x:v>
      </x:c>
      <x:c r="I329" s="59" t="n">
        <x:f>'Premissas'!$B$15</x:f>
        <x:v>50</x:v>
      </x:c>
      <x:c r="J329" s="59" t="n">
        <x:f>'Premissas'!$G$12</x:f>
        <x:v>1</x:v>
      </x:c>
      <x:c r="K329" s="57" t="n">
        <x:f>ROUND(MAX('Premissas'!$B$5,L329-N329),1)</x:f>
        <x:v>272.2</x:v>
      </x:c>
      <x:c r="L329" s="57" t="n">
        <x:f>ROUND(MAX('Premissas'!$B$5,MIN('Premissas'!$B$6,'Premissas'!$B$5+('Premissas'!$B$6-'Premissas'!$B$5)*(3*H329^2-2*H329^3)+I329*4*H329*(1-H329))),1)</x:f>
        <x:v>294.4</x:v>
      </x:c>
      <x:c r="M329" s="57" t="n">
        <x:f>ROUND(MIN('Premissas'!$B$6,L329+N329),1)</x:f>
        <x:v>316.6</x:v>
      </x:c>
      <x:c r="N329" s="57" t="n">
        <x:f>ROUND('Premissas'!$B$7*J329*SQRT(10/F329)*4*H329*(1-H329),1)</x:f>
        <x:v>22.2</x:v>
      </x:c>
      <x:c r="O329" s="56" t="str">
        <x:v>PROVISÓRIA</x:v>
      </x:c>
    </x:row>
    <x:row r="330">
      <x:c r="A330" s="66" t="str">
        <x:v>Escala comum 7º–9º</x:v>
      </x:c>
      <x:c r="B330" s="66" t="str">
        <x:v>9º ano</x:v>
      </x:c>
      <x:c r="C330" s="66" t="str">
        <x:v>MODELO_9_ANO</x:v>
      </x:c>
      <x:c r="D330" s="66" t="str">
        <x:v>GERAL</x:v>
      </x:c>
      <x:c r="E330" s="66" t="str">
        <x:v>Geral (total bruto)</x:v>
      </x:c>
      <x:c r="F330" s="66" t="n">
        <x:v>60</x:v>
      </x:c>
      <x:c r="G330" s="66" t="n">
        <x:v>13</x:v>
      </x:c>
      <x:c r="H330" s="67" t="n">
        <x:f>G330/F330</x:f>
        <x:v>0.21666666666666667</x:v>
      </x:c>
      <x:c r="I330" s="68" t="n">
        <x:f>'Premissas'!$B$15</x:f>
        <x:v>50</x:v>
      </x:c>
      <x:c r="J330" s="68" t="n">
        <x:f>'Premissas'!$G$12</x:f>
        <x:v>1</x:v>
      </x:c>
      <x:c r="K330" s="69" t="n">
        <x:f>ROUND(MAX('Premissas'!$B$5,L330-N330),1)</x:f>
        <x:v>282.6</x:v>
      </x:c>
      <x:c r="L330" s="69" t="n">
        <x:f>ROUND(MAX('Premissas'!$B$5,MIN('Premissas'!$B$6,'Premissas'!$B$5+('Premissas'!$B$6-'Premissas'!$B$5)*(3*H330^2-2*H330^3)+I330*4*H330*(1-H330))),1)</x:f>
        <x:v>306.2</x:v>
      </x:c>
      <x:c r="M330" s="69" t="n">
        <x:f>ROUND(MIN('Premissas'!$B$6,L330+N330),1)</x:f>
        <x:v>329.8</x:v>
      </x:c>
      <x:c r="N330" s="69" t="n">
        <x:f>ROUND('Premissas'!$B$7*J330*SQRT(10/F330)*4*H330*(1-H330),1)</x:f>
        <x:v>23.6</x:v>
      </x:c>
      <x:c r="O330" s="66" t="str">
        <x:v>PROVISÓRIA</x:v>
      </x:c>
    </x:row>
    <x:row r="331">
      <x:c r="A331" s="56" t="str">
        <x:v>Escala comum 7º–9º</x:v>
      </x:c>
      <x:c r="B331" s="56" t="str">
        <x:v>9º ano</x:v>
      </x:c>
      <x:c r="C331" s="56" t="str">
        <x:v>MODELO_9_ANO</x:v>
      </x:c>
      <x:c r="D331" s="56" t="str">
        <x:v>GERAL</x:v>
      </x:c>
      <x:c r="E331" s="56" t="str">
        <x:v>Geral (total bruto)</x:v>
      </x:c>
      <x:c r="F331" s="56" t="n">
        <x:v>60</x:v>
      </x:c>
      <x:c r="G331" s="56" t="n">
        <x:v>14</x:v>
      </x:c>
      <x:c r="H331" s="70" t="n">
        <x:f>G331/F331</x:f>
        <x:v>0.23333333333333334</x:v>
      </x:c>
      <x:c r="I331" s="59" t="n">
        <x:f>'Premissas'!$B$15</x:f>
        <x:v>50</x:v>
      </x:c>
      <x:c r="J331" s="59" t="n">
        <x:f>'Premissas'!$G$12</x:f>
        <x:v>1</x:v>
      </x:c>
      <x:c r="K331" s="57" t="n">
        <x:f>ROUND(MAX('Premissas'!$B$5,L331-N331),1)</x:f>
        <x:v>293.7</x:v>
      </x:c>
      <x:c r="L331" s="57" t="n">
        <x:f>ROUND(MAX('Premissas'!$B$5,MIN('Premissas'!$B$6,'Premissas'!$B$5+('Premissas'!$B$6-'Premissas'!$B$5)*(3*H331^2-2*H331^3)+I331*4*H331*(1-H331))),1)</x:f>
        <x:v>318.5</x:v>
      </x:c>
      <x:c r="M331" s="57" t="n">
        <x:f>ROUND(MIN('Premissas'!$B$6,L331+N331),1)</x:f>
        <x:v>343.3</x:v>
      </x:c>
      <x:c r="N331" s="57" t="n">
        <x:f>ROUND('Premissas'!$B$7*J331*SQRT(10/F331)*4*H331*(1-H331),1)</x:f>
        <x:v>24.8</x:v>
      </x:c>
      <x:c r="O331" s="56" t="str">
        <x:v>PROVISÓRIA</x:v>
      </x:c>
    </x:row>
    <x:row r="332">
      <x:c r="A332" s="66" t="str">
        <x:v>Escala comum 7º–9º</x:v>
      </x:c>
      <x:c r="B332" s="66" t="str">
        <x:v>9º ano</x:v>
      </x:c>
      <x:c r="C332" s="66" t="str">
        <x:v>MODELO_9_ANO</x:v>
      </x:c>
      <x:c r="D332" s="66" t="str">
        <x:v>GERAL</x:v>
      </x:c>
      <x:c r="E332" s="66" t="str">
        <x:v>Geral (total bruto)</x:v>
      </x:c>
      <x:c r="F332" s="66" t="n">
        <x:v>60</x:v>
      </x:c>
      <x:c r="G332" s="66" t="n">
        <x:v>15</x:v>
      </x:c>
      <x:c r="H332" s="67" t="n">
        <x:f>G332/F332</x:f>
        <x:v>0.25</x:v>
      </x:c>
      <x:c r="I332" s="68" t="n">
        <x:f>'Premissas'!$B$15</x:f>
        <x:v>50</x:v>
      </x:c>
      <x:c r="J332" s="68" t="n">
        <x:f>'Premissas'!$G$12</x:f>
        <x:v>1</x:v>
      </x:c>
      <x:c r="K332" s="69" t="n">
        <x:f>ROUND(MAX('Premissas'!$B$5,L332-N332),1)</x:f>
        <x:v>305.3</x:v>
      </x:c>
      <x:c r="L332" s="69" t="n">
        <x:f>ROUND(MAX('Premissas'!$B$5,MIN('Premissas'!$B$6,'Premissas'!$B$5+('Premissas'!$B$6-'Premissas'!$B$5)*(3*H332^2-2*H332^3)+I332*4*H332*(1-H332))),1)</x:f>
        <x:v>331.3</x:v>
      </x:c>
      <x:c r="M332" s="69" t="n">
        <x:f>ROUND(MIN('Premissas'!$B$6,L332+N332),1)</x:f>
        <x:v>357.3</x:v>
      </x:c>
      <x:c r="N332" s="69" t="n">
        <x:f>ROUND('Premissas'!$B$7*J332*SQRT(10/F332)*4*H332*(1-H332),1)</x:f>
        <x:v>26</x:v>
      </x:c>
      <x:c r="O332" s="66" t="str">
        <x:v>PROVISÓRIA</x:v>
      </x:c>
    </x:row>
    <x:row r="333">
      <x:c r="A333" s="56" t="str">
        <x:v>Escala comum 7º–9º</x:v>
      </x:c>
      <x:c r="B333" s="56" t="str">
        <x:v>9º ano</x:v>
      </x:c>
      <x:c r="C333" s="56" t="str">
        <x:v>MODELO_9_ANO</x:v>
      </x:c>
      <x:c r="D333" s="56" t="str">
        <x:v>GERAL</x:v>
      </x:c>
      <x:c r="E333" s="56" t="str">
        <x:v>Geral (total bruto)</x:v>
      </x:c>
      <x:c r="F333" s="56" t="n">
        <x:v>60</x:v>
      </x:c>
      <x:c r="G333" s="56" t="n">
        <x:v>16</x:v>
      </x:c>
      <x:c r="H333" s="70" t="n">
        <x:f>G333/F333</x:f>
        <x:v>0.26666666666666666</x:v>
      </x:c>
      <x:c r="I333" s="59" t="n">
        <x:f>'Premissas'!$B$15</x:f>
        <x:v>50</x:v>
      </x:c>
      <x:c r="J333" s="59" t="n">
        <x:f>'Premissas'!$G$12</x:f>
        <x:v>1</x:v>
      </x:c>
      <x:c r="K333" s="57" t="n">
        <x:f>ROUND(MAX('Premissas'!$B$5,L333-N333),1)</x:f>
        <x:v>317.3</x:v>
      </x:c>
      <x:c r="L333" s="57" t="n">
        <x:f>ROUND(MAX('Premissas'!$B$5,MIN('Premissas'!$B$6,'Premissas'!$B$5+('Premissas'!$B$6-'Premissas'!$B$5)*(3*H333^2-2*H333^3)+I333*4*H333*(1-H333))),1)</x:f>
        <x:v>344.4</x:v>
      </x:c>
      <x:c r="M333" s="57" t="n">
        <x:f>ROUND(MIN('Premissas'!$B$6,L333+N333),1)</x:f>
        <x:v>371.5</x:v>
      </x:c>
      <x:c r="N333" s="57" t="n">
        <x:f>ROUND('Premissas'!$B$7*J333*SQRT(10/F333)*4*H333*(1-H333),1)</x:f>
        <x:v>27.1</x:v>
      </x:c>
      <x:c r="O333" s="56" t="str">
        <x:v>PROVISÓRIA</x:v>
      </x:c>
    </x:row>
    <x:row r="334">
      <x:c r="A334" s="66" t="str">
        <x:v>Escala comum 7º–9º</x:v>
      </x:c>
      <x:c r="B334" s="66" t="str">
        <x:v>9º ano</x:v>
      </x:c>
      <x:c r="C334" s="66" t="str">
        <x:v>MODELO_9_ANO</x:v>
      </x:c>
      <x:c r="D334" s="66" t="str">
        <x:v>GERAL</x:v>
      </x:c>
      <x:c r="E334" s="66" t="str">
        <x:v>Geral (total bruto)</x:v>
      </x:c>
      <x:c r="F334" s="66" t="n">
        <x:v>60</x:v>
      </x:c>
      <x:c r="G334" s="66" t="n">
        <x:v>17</x:v>
      </x:c>
      <x:c r="H334" s="67" t="n">
        <x:f>G334/F334</x:f>
        <x:v>0.2833333333333333</x:v>
      </x:c>
      <x:c r="I334" s="68" t="n">
        <x:f>'Premissas'!$B$15</x:f>
        <x:v>50</x:v>
      </x:c>
      <x:c r="J334" s="68" t="n">
        <x:f>'Premissas'!$G$12</x:f>
        <x:v>1</x:v>
      </x:c>
      <x:c r="K334" s="69" t="n">
        <x:f>ROUND(MAX('Premissas'!$B$5,L334-N334),1)</x:f>
        <x:v>329.6</x:v>
      </x:c>
      <x:c r="L334" s="69" t="n">
        <x:f>ROUND(MAX('Premissas'!$B$5,MIN('Premissas'!$B$6,'Premissas'!$B$5+('Premissas'!$B$6-'Premissas'!$B$5)*(3*H334^2-2*H334^3)+I334*4*H334*(1-H334))),1)</x:f>
        <x:v>357.8</x:v>
      </x:c>
      <x:c r="M334" s="69" t="n">
        <x:f>ROUND(MIN('Premissas'!$B$6,L334+N334),1)</x:f>
        <x:v>386</x:v>
      </x:c>
      <x:c r="N334" s="69" t="n">
        <x:f>ROUND('Premissas'!$B$7*J334*SQRT(10/F334)*4*H334*(1-H334),1)</x:f>
        <x:v>28.2</x:v>
      </x:c>
      <x:c r="O334" s="66" t="str">
        <x:v>PROVISÓRIA</x:v>
      </x:c>
    </x:row>
    <x:row r="335">
      <x:c r="A335" s="56" t="str">
        <x:v>Escala comum 7º–9º</x:v>
      </x:c>
      <x:c r="B335" s="56" t="str">
        <x:v>9º ano</x:v>
      </x:c>
      <x:c r="C335" s="56" t="str">
        <x:v>MODELO_9_ANO</x:v>
      </x:c>
      <x:c r="D335" s="56" t="str">
        <x:v>GERAL</x:v>
      </x:c>
      <x:c r="E335" s="56" t="str">
        <x:v>Geral (total bruto)</x:v>
      </x:c>
      <x:c r="F335" s="56" t="n">
        <x:v>60</x:v>
      </x:c>
      <x:c r="G335" s="56" t="n">
        <x:v>18</x:v>
      </x:c>
      <x:c r="H335" s="70" t="n">
        <x:f>G335/F335</x:f>
        <x:v>0.3</x:v>
      </x:c>
      <x:c r="I335" s="59" t="n">
        <x:f>'Premissas'!$B$15</x:f>
        <x:v>50</x:v>
      </x:c>
      <x:c r="J335" s="59" t="n">
        <x:f>'Premissas'!$G$12</x:f>
        <x:v>1</x:v>
      </x:c>
      <x:c r="K335" s="57" t="n">
        <x:f>ROUND(MAX('Premissas'!$B$5,L335-N335),1)</x:f>
        <x:v>342.5</x:v>
      </x:c>
      <x:c r="L335" s="57" t="n">
        <x:f>ROUND(MAX('Premissas'!$B$5,MIN('Premissas'!$B$6,'Premissas'!$B$5+('Premissas'!$B$6-'Premissas'!$B$5)*(3*H335^2-2*H335^3)+I335*4*H335*(1-H335))),1)</x:f>
        <x:v>371.6</x:v>
      </x:c>
      <x:c r="M335" s="57" t="n">
        <x:f>ROUND(MIN('Premissas'!$B$6,L335+N335),1)</x:f>
        <x:v>400.7</x:v>
      </x:c>
      <x:c r="N335" s="57" t="n">
        <x:f>ROUND('Premissas'!$B$7*J335*SQRT(10/F335)*4*H335*(1-H335),1)</x:f>
        <x:v>29.1</x:v>
      </x:c>
      <x:c r="O335" s="56" t="str">
        <x:v>PROVISÓRIA</x:v>
      </x:c>
    </x:row>
    <x:row r="336">
      <x:c r="A336" s="66" t="str">
        <x:v>Escala comum 7º–9º</x:v>
      </x:c>
      <x:c r="B336" s="66" t="str">
        <x:v>9º ano</x:v>
      </x:c>
      <x:c r="C336" s="66" t="str">
        <x:v>MODELO_9_ANO</x:v>
      </x:c>
      <x:c r="D336" s="66" t="str">
        <x:v>GERAL</x:v>
      </x:c>
      <x:c r="E336" s="66" t="str">
        <x:v>Geral (total bruto)</x:v>
      </x:c>
      <x:c r="F336" s="66" t="n">
        <x:v>60</x:v>
      </x:c>
      <x:c r="G336" s="66" t="n">
        <x:v>19</x:v>
      </x:c>
      <x:c r="H336" s="67" t="n">
        <x:f>G336/F336</x:f>
        <x:v>0.31666666666666665</x:v>
      </x:c>
      <x:c r="I336" s="68" t="n">
        <x:f>'Premissas'!$B$15</x:f>
        <x:v>50</x:v>
      </x:c>
      <x:c r="J336" s="68" t="n">
        <x:f>'Premissas'!$G$12</x:f>
        <x:v>1</x:v>
      </x:c>
      <x:c r="K336" s="69" t="n">
        <x:f>ROUND(MAX('Premissas'!$B$5,L336-N336),1)</x:f>
        <x:v>355.7</x:v>
      </x:c>
      <x:c r="L336" s="69" t="n">
        <x:f>ROUND(MAX('Premissas'!$B$5,MIN('Premissas'!$B$6,'Premissas'!$B$5+('Premissas'!$B$6-'Premissas'!$B$5)*(3*H336^2-2*H336^3)+I336*4*H336*(1-H336))),1)</x:f>
        <x:v>385.7</x:v>
      </x:c>
      <x:c r="M336" s="69" t="n">
        <x:f>ROUND(MIN('Premissas'!$B$6,L336+N336),1)</x:f>
        <x:v>415.7</x:v>
      </x:c>
      <x:c r="N336" s="69" t="n">
        <x:f>ROUND('Premissas'!$B$7*J336*SQRT(10/F336)*4*H336*(1-H336),1)</x:f>
        <x:v>30</x:v>
      </x:c>
      <x:c r="O336" s="66" t="str">
        <x:v>PROVISÓRIA</x:v>
      </x:c>
    </x:row>
    <x:row r="337">
      <x:c r="A337" s="56" t="str">
        <x:v>Escala comum 7º–9º</x:v>
      </x:c>
      <x:c r="B337" s="56" t="str">
        <x:v>9º ano</x:v>
      </x:c>
      <x:c r="C337" s="56" t="str">
        <x:v>MODELO_9_ANO</x:v>
      </x:c>
      <x:c r="D337" s="56" t="str">
        <x:v>GERAL</x:v>
      </x:c>
      <x:c r="E337" s="56" t="str">
        <x:v>Geral (total bruto)</x:v>
      </x:c>
      <x:c r="F337" s="56" t="n">
        <x:v>60</x:v>
      </x:c>
      <x:c r="G337" s="56" t="n">
        <x:v>20</x:v>
      </x:c>
      <x:c r="H337" s="70" t="n">
        <x:f>G337/F337</x:f>
        <x:v>0.3333333333333333</x:v>
      </x:c>
      <x:c r="I337" s="59" t="n">
        <x:f>'Premissas'!$B$15</x:f>
        <x:v>50</x:v>
      </x:c>
      <x:c r="J337" s="59" t="n">
        <x:f>'Premissas'!$G$12</x:f>
        <x:v>1</x:v>
      </x:c>
      <x:c r="K337" s="57" t="n">
        <x:f>ROUND(MAX('Premissas'!$B$5,L337-N337),1)</x:f>
        <x:v>369.2</x:v>
      </x:c>
      <x:c r="L337" s="57" t="n">
        <x:f>ROUND(MAX('Premissas'!$B$5,MIN('Premissas'!$B$6,'Premissas'!$B$5+('Premissas'!$B$6-'Premissas'!$B$5)*(3*H337^2-2*H337^3)+I337*4*H337*(1-H337))),1)</x:f>
        <x:v>400</x:v>
      </x:c>
      <x:c r="M337" s="57" t="n">
        <x:f>ROUND(MIN('Premissas'!$B$6,L337+N337),1)</x:f>
        <x:v>430.8</x:v>
      </x:c>
      <x:c r="N337" s="57" t="n">
        <x:f>ROUND('Premissas'!$B$7*J337*SQRT(10/F337)*4*H337*(1-H337),1)</x:f>
        <x:v>30.8</x:v>
      </x:c>
      <x:c r="O337" s="56" t="str">
        <x:v>PROVISÓRIA</x:v>
      </x:c>
    </x:row>
    <x:row r="338">
      <x:c r="A338" s="66" t="str">
        <x:v>Escala comum 7º–9º</x:v>
      </x:c>
      <x:c r="B338" s="66" t="str">
        <x:v>9º ano</x:v>
      </x:c>
      <x:c r="C338" s="66" t="str">
        <x:v>MODELO_9_ANO</x:v>
      </x:c>
      <x:c r="D338" s="66" t="str">
        <x:v>GERAL</x:v>
      </x:c>
      <x:c r="E338" s="66" t="str">
        <x:v>Geral (total bruto)</x:v>
      </x:c>
      <x:c r="F338" s="66" t="n">
        <x:v>60</x:v>
      </x:c>
      <x:c r="G338" s="66" t="n">
        <x:v>21</x:v>
      </x:c>
      <x:c r="H338" s="67" t="n">
        <x:f>G338/F338</x:f>
        <x:v>0.35</x:v>
      </x:c>
      <x:c r="I338" s="68" t="n">
        <x:f>'Premissas'!$B$15</x:f>
        <x:v>50</x:v>
      </x:c>
      <x:c r="J338" s="68" t="n">
        <x:f>'Premissas'!$G$12</x:f>
        <x:v>1</x:v>
      </x:c>
      <x:c r="K338" s="69" t="n">
        <x:f>ROUND(MAX('Premissas'!$B$5,L338-N338),1)</x:f>
        <x:v>383</x:v>
      </x:c>
      <x:c r="L338" s="69" t="n">
        <x:f>ROUND(MAX('Premissas'!$B$5,MIN('Premissas'!$B$6,'Premissas'!$B$5+('Premissas'!$B$6-'Premissas'!$B$5)*(3*H338^2-2*H338^3)+I338*4*H338*(1-H338))),1)</x:f>
        <x:v>414.6</x:v>
      </x:c>
      <x:c r="M338" s="69" t="n">
        <x:f>ROUND(MIN('Premissas'!$B$6,L338+N338),1)</x:f>
        <x:v>446.2</x:v>
      </x:c>
      <x:c r="N338" s="69" t="n">
        <x:f>ROUND('Premissas'!$B$7*J338*SQRT(10/F338)*4*H338*(1-H338),1)</x:f>
        <x:v>31.6</x:v>
      </x:c>
      <x:c r="O338" s="66" t="str">
        <x:v>PROVISÓRIA</x:v>
      </x:c>
    </x:row>
    <x:row r="339">
      <x:c r="A339" s="56" t="str">
        <x:v>Escala comum 7º–9º</x:v>
      </x:c>
      <x:c r="B339" s="56" t="str">
        <x:v>9º ano</x:v>
      </x:c>
      <x:c r="C339" s="56" t="str">
        <x:v>MODELO_9_ANO</x:v>
      </x:c>
      <x:c r="D339" s="56" t="str">
        <x:v>GERAL</x:v>
      </x:c>
      <x:c r="E339" s="56" t="str">
        <x:v>Geral (total bruto)</x:v>
      </x:c>
      <x:c r="F339" s="56" t="n">
        <x:v>60</x:v>
      </x:c>
      <x:c r="G339" s="56" t="n">
        <x:v>22</x:v>
      </x:c>
      <x:c r="H339" s="70" t="n">
        <x:f>G339/F339</x:f>
        <x:v>0.36666666666666664</x:v>
      </x:c>
      <x:c r="I339" s="59" t="n">
        <x:f>'Premissas'!$B$15</x:f>
        <x:v>50</x:v>
      </x:c>
      <x:c r="J339" s="59" t="n">
        <x:f>'Premissas'!$G$12</x:f>
        <x:v>1</x:v>
      </x:c>
      <x:c r="K339" s="57" t="n">
        <x:f>ROUND(MAX('Premissas'!$B$5,L339-N339),1)</x:f>
        <x:v>397.1</x:v>
      </x:c>
      <x:c r="L339" s="57" t="n">
        <x:f>ROUND(MAX('Premissas'!$B$5,MIN('Premissas'!$B$6,'Premissas'!$B$5+('Premissas'!$B$6-'Premissas'!$B$5)*(3*H339^2-2*H339^3)+I339*4*H339*(1-H339))),1)</x:f>
        <x:v>429.3</x:v>
      </x:c>
      <x:c r="M339" s="57" t="n">
        <x:f>ROUND(MIN('Premissas'!$B$6,L339+N339),1)</x:f>
        <x:v>461.5</x:v>
      </x:c>
      <x:c r="N339" s="57" t="n">
        <x:f>ROUND('Premissas'!$B$7*J339*SQRT(10/F339)*4*H339*(1-H339),1)</x:f>
        <x:v>32.2</x:v>
      </x:c>
      <x:c r="O339" s="56" t="str">
        <x:v>PROVISÓRIA</x:v>
      </x:c>
    </x:row>
    <x:row r="340">
      <x:c r="A340" s="66" t="str">
        <x:v>Escala comum 7º–9º</x:v>
      </x:c>
      <x:c r="B340" s="66" t="str">
        <x:v>9º ano</x:v>
      </x:c>
      <x:c r="C340" s="66" t="str">
        <x:v>MODELO_9_ANO</x:v>
      </x:c>
      <x:c r="D340" s="66" t="str">
        <x:v>GERAL</x:v>
      </x:c>
      <x:c r="E340" s="66" t="str">
        <x:v>Geral (total bruto)</x:v>
      </x:c>
      <x:c r="F340" s="66" t="n">
        <x:v>60</x:v>
      </x:c>
      <x:c r="G340" s="66" t="n">
        <x:v>23</x:v>
      </x:c>
      <x:c r="H340" s="67" t="n">
        <x:f>G340/F340</x:f>
        <x:v>0.38333333333333336</x:v>
      </x:c>
      <x:c r="I340" s="68" t="n">
        <x:f>'Premissas'!$B$15</x:f>
        <x:v>50</x:v>
      </x:c>
      <x:c r="J340" s="68" t="n">
        <x:f>'Premissas'!$G$12</x:f>
        <x:v>1</x:v>
      </x:c>
      <x:c r="K340" s="69" t="n">
        <x:f>ROUND(MAX('Premissas'!$B$5,L340-N340),1)</x:f>
        <x:v>411.4</x:v>
      </x:c>
      <x:c r="L340" s="69" t="n">
        <x:f>ROUND(MAX('Premissas'!$B$5,MIN('Premissas'!$B$6,'Premissas'!$B$5+('Premissas'!$B$6-'Premissas'!$B$5)*(3*H340^2-2*H340^3)+I340*4*H340*(1-H340))),1)</x:f>
        <x:v>444.2</x:v>
      </x:c>
      <x:c r="M340" s="69" t="n">
        <x:f>ROUND(MIN('Premissas'!$B$6,L340+N340),1)</x:f>
        <x:v>477</x:v>
      </x:c>
      <x:c r="N340" s="69" t="n">
        <x:f>ROUND('Premissas'!$B$7*J340*SQRT(10/F340)*4*H340*(1-H340),1)</x:f>
        <x:v>32.8</x:v>
      </x:c>
      <x:c r="O340" s="66" t="str">
        <x:v>PROVISÓRIA</x:v>
      </x:c>
    </x:row>
    <x:row r="341">
      <x:c r="A341" s="56" t="str">
        <x:v>Escala comum 7º–9º</x:v>
      </x:c>
      <x:c r="B341" s="56" t="str">
        <x:v>9º ano</x:v>
      </x:c>
      <x:c r="C341" s="56" t="str">
        <x:v>MODELO_9_ANO</x:v>
      </x:c>
      <x:c r="D341" s="56" t="str">
        <x:v>GERAL</x:v>
      </x:c>
      <x:c r="E341" s="56" t="str">
        <x:v>Geral (total bruto)</x:v>
      </x:c>
      <x:c r="F341" s="56" t="n">
        <x:v>60</x:v>
      </x:c>
      <x:c r="G341" s="56" t="n">
        <x:v>24</x:v>
      </x:c>
      <x:c r="H341" s="70" t="n">
        <x:f>G341/F341</x:f>
        <x:v>0.4</x:v>
      </x:c>
      <x:c r="I341" s="59" t="n">
        <x:f>'Premissas'!$B$15</x:f>
        <x:v>50</x:v>
      </x:c>
      <x:c r="J341" s="59" t="n">
        <x:f>'Premissas'!$G$12</x:f>
        <x:v>1</x:v>
      </x:c>
      <x:c r="K341" s="57" t="n">
        <x:f>ROUND(MAX('Premissas'!$B$5,L341-N341),1)</x:f>
        <x:v>425.9</x:v>
      </x:c>
      <x:c r="L341" s="57" t="n">
        <x:f>ROUND(MAX('Premissas'!$B$5,MIN('Premissas'!$B$6,'Premissas'!$B$5+('Premissas'!$B$6-'Premissas'!$B$5)*(3*H341^2-2*H341^3)+I341*4*H341*(1-H341))),1)</x:f>
        <x:v>459.2</x:v>
      </x:c>
      <x:c r="M341" s="57" t="n">
        <x:f>ROUND(MIN('Premissas'!$B$6,L341+N341),1)</x:f>
        <x:v>492.5</x:v>
      </x:c>
      <x:c r="N341" s="57" t="n">
        <x:f>ROUND('Premissas'!$B$7*J341*SQRT(10/F341)*4*H341*(1-H341),1)</x:f>
        <x:v>33.3</x:v>
      </x:c>
      <x:c r="O341" s="56" t="str">
        <x:v>PROVISÓRIA</x:v>
      </x:c>
    </x:row>
    <x:row r="342">
      <x:c r="A342" s="66" t="str">
        <x:v>Escala comum 7º–9º</x:v>
      </x:c>
      <x:c r="B342" s="66" t="str">
        <x:v>9º ano</x:v>
      </x:c>
      <x:c r="C342" s="66" t="str">
        <x:v>MODELO_9_ANO</x:v>
      </x:c>
      <x:c r="D342" s="66" t="str">
        <x:v>GERAL</x:v>
      </x:c>
      <x:c r="E342" s="66" t="str">
        <x:v>Geral (total bruto)</x:v>
      </x:c>
      <x:c r="F342" s="66" t="n">
        <x:v>60</x:v>
      </x:c>
      <x:c r="G342" s="66" t="n">
        <x:v>25</x:v>
      </x:c>
      <x:c r="H342" s="67" t="n">
        <x:f>G342/F342</x:f>
        <x:v>0.4166666666666667</x:v>
      </x:c>
      <x:c r="I342" s="68" t="n">
        <x:f>'Premissas'!$B$15</x:f>
        <x:v>50</x:v>
      </x:c>
      <x:c r="J342" s="68" t="n">
        <x:f>'Premissas'!$G$12</x:f>
        <x:v>1</x:v>
      </x:c>
      <x:c r="K342" s="69" t="n">
        <x:f>ROUND(MAX('Premissas'!$B$5,L342-N342),1)</x:f>
        <x:v>440.6</x:v>
      </x:c>
      <x:c r="L342" s="69" t="n">
        <x:f>ROUND(MAX('Premissas'!$B$5,MIN('Premissas'!$B$6,'Premissas'!$B$5+('Premissas'!$B$6-'Premissas'!$B$5)*(3*H342^2-2*H342^3)+I342*4*H342*(1-H342))),1)</x:f>
        <x:v>474.3</x:v>
      </x:c>
      <x:c r="M342" s="69" t="n">
        <x:f>ROUND(MIN('Premissas'!$B$6,L342+N342),1)</x:f>
        <x:v>508</x:v>
      </x:c>
      <x:c r="N342" s="69" t="n">
        <x:f>ROUND('Premissas'!$B$7*J342*SQRT(10/F342)*4*H342*(1-H342),1)</x:f>
        <x:v>33.7</x:v>
      </x:c>
      <x:c r="O342" s="66" t="str">
        <x:v>PROVISÓRIA</x:v>
      </x:c>
    </x:row>
    <x:row r="343">
      <x:c r="A343" s="56" t="str">
        <x:v>Escala comum 7º–9º</x:v>
      </x:c>
      <x:c r="B343" s="56" t="str">
        <x:v>9º ano</x:v>
      </x:c>
      <x:c r="C343" s="56" t="str">
        <x:v>MODELO_9_ANO</x:v>
      </x:c>
      <x:c r="D343" s="56" t="str">
        <x:v>GERAL</x:v>
      </x:c>
      <x:c r="E343" s="56" t="str">
        <x:v>Geral (total bruto)</x:v>
      </x:c>
      <x:c r="F343" s="56" t="n">
        <x:v>60</x:v>
      </x:c>
      <x:c r="G343" s="56" t="n">
        <x:v>26</x:v>
      </x:c>
      <x:c r="H343" s="70" t="n">
        <x:f>G343/F343</x:f>
        <x:v>0.43333333333333335</x:v>
      </x:c>
      <x:c r="I343" s="59" t="n">
        <x:f>'Premissas'!$B$15</x:f>
        <x:v>50</x:v>
      </x:c>
      <x:c r="J343" s="59" t="n">
        <x:f>'Premissas'!$G$12</x:f>
        <x:v>1</x:v>
      </x:c>
      <x:c r="K343" s="57" t="n">
        <x:f>ROUND(MAX('Premissas'!$B$5,L343-N343),1)</x:f>
        <x:v>455.4</x:v>
      </x:c>
      <x:c r="L343" s="57" t="n">
        <x:f>ROUND(MAX('Premissas'!$B$5,MIN('Premissas'!$B$6,'Premissas'!$B$5+('Premissas'!$B$6-'Premissas'!$B$5)*(3*H343^2-2*H343^3)+I343*4*H343*(1-H343))),1)</x:f>
        <x:v>489.5</x:v>
      </x:c>
      <x:c r="M343" s="57" t="n">
        <x:f>ROUND(MIN('Premissas'!$B$6,L343+N343),1)</x:f>
        <x:v>523.6</x:v>
      </x:c>
      <x:c r="N343" s="57" t="n">
        <x:f>ROUND('Premissas'!$B$7*J343*SQRT(10/F343)*4*H343*(1-H343),1)</x:f>
        <x:v>34.1</x:v>
      </x:c>
      <x:c r="O343" s="56" t="str">
        <x:v>PROVISÓRIA</x:v>
      </x:c>
    </x:row>
    <x:row r="344">
      <x:c r="A344" s="66" t="str">
        <x:v>Escala comum 7º–9º</x:v>
      </x:c>
      <x:c r="B344" s="66" t="str">
        <x:v>9º ano</x:v>
      </x:c>
      <x:c r="C344" s="66" t="str">
        <x:v>MODELO_9_ANO</x:v>
      </x:c>
      <x:c r="D344" s="66" t="str">
        <x:v>GERAL</x:v>
      </x:c>
      <x:c r="E344" s="66" t="str">
        <x:v>Geral (total bruto)</x:v>
      </x:c>
      <x:c r="F344" s="66" t="n">
        <x:v>60</x:v>
      </x:c>
      <x:c r="G344" s="66" t="n">
        <x:v>27</x:v>
      </x:c>
      <x:c r="H344" s="67" t="n">
        <x:f>G344/F344</x:f>
        <x:v>0.45</x:v>
      </x:c>
      <x:c r="I344" s="68" t="n">
        <x:f>'Premissas'!$B$15</x:f>
        <x:v>50</x:v>
      </x:c>
      <x:c r="J344" s="68" t="n">
        <x:f>'Premissas'!$G$12</x:f>
        <x:v>1</x:v>
      </x:c>
      <x:c r="K344" s="69" t="n">
        <x:f>ROUND(MAX('Premissas'!$B$5,L344-N344),1)</x:f>
        <x:v>470.3</x:v>
      </x:c>
      <x:c r="L344" s="69" t="n">
        <x:f>ROUND(MAX('Premissas'!$B$5,MIN('Premissas'!$B$6,'Premissas'!$B$5+('Premissas'!$B$6-'Premissas'!$B$5)*(3*H344^2-2*H344^3)+I344*4*H344*(1-H344))),1)</x:f>
        <x:v>504.7</x:v>
      </x:c>
      <x:c r="M344" s="69" t="n">
        <x:f>ROUND(MIN('Premissas'!$B$6,L344+N344),1)</x:f>
        <x:v>539.1</x:v>
      </x:c>
      <x:c r="N344" s="69" t="n">
        <x:f>ROUND('Premissas'!$B$7*J344*SQRT(10/F344)*4*H344*(1-H344),1)</x:f>
        <x:v>34.4</x:v>
      </x:c>
      <x:c r="O344" s="66" t="str">
        <x:v>PROVISÓRIA</x:v>
      </x:c>
    </x:row>
    <x:row r="345">
      <x:c r="A345" s="56" t="str">
        <x:v>Escala comum 7º–9º</x:v>
      </x:c>
      <x:c r="B345" s="56" t="str">
        <x:v>9º ano</x:v>
      </x:c>
      <x:c r="C345" s="56" t="str">
        <x:v>MODELO_9_ANO</x:v>
      </x:c>
      <x:c r="D345" s="56" t="str">
        <x:v>GERAL</x:v>
      </x:c>
      <x:c r="E345" s="56" t="str">
        <x:v>Geral (total bruto)</x:v>
      </x:c>
      <x:c r="F345" s="56" t="n">
        <x:v>60</x:v>
      </x:c>
      <x:c r="G345" s="56" t="n">
        <x:v>28</x:v>
      </x:c>
      <x:c r="H345" s="70" t="n">
        <x:f>G345/F345</x:f>
        <x:v>0.4666666666666667</x:v>
      </x:c>
      <x:c r="I345" s="59" t="n">
        <x:f>'Premissas'!$B$15</x:f>
        <x:v>50</x:v>
      </x:c>
      <x:c r="J345" s="59" t="n">
        <x:f>'Premissas'!$G$12</x:f>
        <x:v>1</x:v>
      </x:c>
      <x:c r="K345" s="57" t="n">
        <x:f>ROUND(MAX('Premissas'!$B$5,L345-N345),1)</x:f>
        <x:v>485.3</x:v>
      </x:c>
      <x:c r="L345" s="57" t="n">
        <x:f>ROUND(MAX('Premissas'!$B$5,MIN('Premissas'!$B$6,'Premissas'!$B$5+('Premissas'!$B$6-'Premissas'!$B$5)*(3*H345^2-2*H345^3)+I345*4*H345*(1-H345))),1)</x:f>
        <x:v>519.8</x:v>
      </x:c>
      <x:c r="M345" s="57" t="n">
        <x:f>ROUND(MIN('Premissas'!$B$6,L345+N345),1)</x:f>
        <x:v>554.3</x:v>
      </x:c>
      <x:c r="N345" s="57" t="n">
        <x:f>ROUND('Premissas'!$B$7*J345*SQRT(10/F345)*4*H345*(1-H345),1)</x:f>
        <x:v>34.5</x:v>
      </x:c>
      <x:c r="O345" s="56" t="str">
        <x:v>PROVISÓRIA</x:v>
      </x:c>
    </x:row>
    <x:row r="346">
      <x:c r="A346" s="66" t="str">
        <x:v>Escala comum 7º–9º</x:v>
      </x:c>
      <x:c r="B346" s="66" t="str">
        <x:v>9º ano</x:v>
      </x:c>
      <x:c r="C346" s="66" t="str">
        <x:v>MODELO_9_ANO</x:v>
      </x:c>
      <x:c r="D346" s="66" t="str">
        <x:v>GERAL</x:v>
      </x:c>
      <x:c r="E346" s="66" t="str">
        <x:v>Geral (total bruto)</x:v>
      </x:c>
      <x:c r="F346" s="66" t="n">
        <x:v>60</x:v>
      </x:c>
      <x:c r="G346" s="66" t="n">
        <x:v>29</x:v>
      </x:c>
      <x:c r="H346" s="67" t="n">
        <x:f>G346/F346</x:f>
        <x:v>0.48333333333333334</x:v>
      </x:c>
      <x:c r="I346" s="68" t="n">
        <x:f>'Premissas'!$B$15</x:f>
        <x:v>50</x:v>
      </x:c>
      <x:c r="J346" s="68" t="n">
        <x:f>'Premissas'!$G$12</x:f>
        <x:v>1</x:v>
      </x:c>
      <x:c r="K346" s="69" t="n">
        <x:f>ROUND(MAX('Premissas'!$B$5,L346-N346),1)</x:f>
        <x:v>500.2</x:v>
      </x:c>
      <x:c r="L346" s="69" t="n">
        <x:f>ROUND(MAX('Premissas'!$B$5,MIN('Premissas'!$B$6,'Premissas'!$B$5+('Premissas'!$B$6-'Premissas'!$B$5)*(3*H346^2-2*H346^3)+I346*4*H346*(1-H346))),1)</x:f>
        <x:v>534.9</x:v>
      </x:c>
      <x:c r="M346" s="69" t="n">
        <x:f>ROUND(MIN('Premissas'!$B$6,L346+N346),1)</x:f>
        <x:v>569.6</x:v>
      </x:c>
      <x:c r="N346" s="69" t="n">
        <x:f>ROUND('Premissas'!$B$7*J346*SQRT(10/F346)*4*H346*(1-H346),1)</x:f>
        <x:v>34.7</x:v>
      </x:c>
      <x:c r="O346" s="66" t="str">
        <x:v>PROVISÓRIA</x:v>
      </x:c>
    </x:row>
    <x:row r="347">
      <x:c r="A347" s="56" t="str">
        <x:v>Escala comum 7º–9º</x:v>
      </x:c>
      <x:c r="B347" s="56" t="str">
        <x:v>9º ano</x:v>
      </x:c>
      <x:c r="C347" s="56" t="str">
        <x:v>MODELO_9_ANO</x:v>
      </x:c>
      <x:c r="D347" s="56" t="str">
        <x:v>GERAL</x:v>
      </x:c>
      <x:c r="E347" s="56" t="str">
        <x:v>Geral (total bruto)</x:v>
      </x:c>
      <x:c r="F347" s="56" t="n">
        <x:v>60</x:v>
      </x:c>
      <x:c r="G347" s="56" t="n">
        <x:v>30</x:v>
      </x:c>
      <x:c r="H347" s="70" t="n">
        <x:f>G347/F347</x:f>
        <x:v>0.5</x:v>
      </x:c>
      <x:c r="I347" s="59" t="n">
        <x:f>'Premissas'!$B$15</x:f>
        <x:v>50</x:v>
      </x:c>
      <x:c r="J347" s="59" t="n">
        <x:f>'Premissas'!$G$12</x:f>
        <x:v>1</x:v>
      </x:c>
      <x:c r="K347" s="57" t="n">
        <x:f>ROUND(MAX('Premissas'!$B$5,L347-N347),1)</x:f>
        <x:v>515.3</x:v>
      </x:c>
      <x:c r="L347" s="57" t="n">
        <x:f>ROUND(MAX('Premissas'!$B$5,MIN('Premissas'!$B$6,'Premissas'!$B$5+('Premissas'!$B$6-'Premissas'!$B$5)*(3*H347^2-2*H347^3)+I347*4*H347*(1-H347))),1)</x:f>
        <x:v>550</x:v>
      </x:c>
      <x:c r="M347" s="57" t="n">
        <x:f>ROUND(MIN('Premissas'!$B$6,L347+N347),1)</x:f>
        <x:v>584.7</x:v>
      </x:c>
      <x:c r="N347" s="57" t="n">
        <x:f>ROUND('Premissas'!$B$7*J347*SQRT(10/F347)*4*H347*(1-H347),1)</x:f>
        <x:v>34.7</x:v>
      </x:c>
      <x:c r="O347" s="56" t="str">
        <x:v>PROVISÓRIA</x:v>
      </x:c>
    </x:row>
    <x:row r="348">
      <x:c r="A348" s="66" t="str">
        <x:v>Escala comum 7º–9º</x:v>
      </x:c>
      <x:c r="B348" s="66" t="str">
        <x:v>9º ano</x:v>
      </x:c>
      <x:c r="C348" s="66" t="str">
        <x:v>MODELO_9_ANO</x:v>
      </x:c>
      <x:c r="D348" s="66" t="str">
        <x:v>GERAL</x:v>
      </x:c>
      <x:c r="E348" s="66" t="str">
        <x:v>Geral (total bruto)</x:v>
      </x:c>
      <x:c r="F348" s="66" t="n">
        <x:v>60</x:v>
      </x:c>
      <x:c r="G348" s="66" t="n">
        <x:v>31</x:v>
      </x:c>
      <x:c r="H348" s="67" t="n">
        <x:f>G348/F348</x:f>
        <x:v>0.5166666666666667</x:v>
      </x:c>
      <x:c r="I348" s="68" t="n">
        <x:f>'Premissas'!$B$15</x:f>
        <x:v>50</x:v>
      </x:c>
      <x:c r="J348" s="68" t="n">
        <x:f>'Premissas'!$G$12</x:f>
        <x:v>1</x:v>
      </x:c>
      <x:c r="K348" s="69" t="n">
        <x:f>ROUND(MAX('Premissas'!$B$5,L348-N348),1)</x:f>
        <x:v>530.2</x:v>
      </x:c>
      <x:c r="L348" s="69" t="n">
        <x:f>ROUND(MAX('Premissas'!$B$5,MIN('Premissas'!$B$6,'Premissas'!$B$5+('Premissas'!$B$6-'Premissas'!$B$5)*(3*H348^2-2*H348^3)+I348*4*H348*(1-H348))),1)</x:f>
        <x:v>564.9</x:v>
      </x:c>
      <x:c r="M348" s="69" t="n">
        <x:f>ROUND(MIN('Premissas'!$B$6,L348+N348),1)</x:f>
        <x:v>599.6</x:v>
      </x:c>
      <x:c r="N348" s="69" t="n">
        <x:f>ROUND('Premissas'!$B$7*J348*SQRT(10/F348)*4*H348*(1-H348),1)</x:f>
        <x:v>34.7</x:v>
      </x:c>
      <x:c r="O348" s="66" t="str">
        <x:v>PROVISÓRIA</x:v>
      </x:c>
    </x:row>
    <x:row r="349">
      <x:c r="A349" s="56" t="str">
        <x:v>Escala comum 7º–9º</x:v>
      </x:c>
      <x:c r="B349" s="56" t="str">
        <x:v>9º ano</x:v>
      </x:c>
      <x:c r="C349" s="56" t="str">
        <x:v>MODELO_9_ANO</x:v>
      </x:c>
      <x:c r="D349" s="56" t="str">
        <x:v>GERAL</x:v>
      </x:c>
      <x:c r="E349" s="56" t="str">
        <x:v>Geral (total bruto)</x:v>
      </x:c>
      <x:c r="F349" s="56" t="n">
        <x:v>60</x:v>
      </x:c>
      <x:c r="G349" s="56" t="n">
        <x:v>32</x:v>
      </x:c>
      <x:c r="H349" s="70" t="n">
        <x:f>G349/F349</x:f>
        <x:v>0.5333333333333333</x:v>
      </x:c>
      <x:c r="I349" s="59" t="n">
        <x:f>'Premissas'!$B$15</x:f>
        <x:v>50</x:v>
      </x:c>
      <x:c r="J349" s="59" t="n">
        <x:f>'Premissas'!$G$12</x:f>
        <x:v>1</x:v>
      </x:c>
      <x:c r="K349" s="57" t="n">
        <x:f>ROUND(MAX('Premissas'!$B$5,L349-N349),1)</x:f>
        <x:v>545.2</x:v>
      </x:c>
      <x:c r="L349" s="57" t="n">
        <x:f>ROUND(MAX('Premissas'!$B$5,MIN('Premissas'!$B$6,'Premissas'!$B$5+('Premissas'!$B$6-'Premissas'!$B$5)*(3*H349^2-2*H349^3)+I349*4*H349*(1-H349))),1)</x:f>
        <x:v>579.7</x:v>
      </x:c>
      <x:c r="M349" s="57" t="n">
        <x:f>ROUND(MIN('Premissas'!$B$6,L349+N349),1)</x:f>
        <x:v>614.2</x:v>
      </x:c>
      <x:c r="N349" s="57" t="n">
        <x:f>ROUND('Premissas'!$B$7*J349*SQRT(10/F349)*4*H349*(1-H349),1)</x:f>
        <x:v>34.5</x:v>
      </x:c>
      <x:c r="O349" s="56" t="str">
        <x:v>PROVISÓRIA</x:v>
      </x:c>
    </x:row>
    <x:row r="350">
      <x:c r="A350" s="66" t="str">
        <x:v>Escala comum 7º–9º</x:v>
      </x:c>
      <x:c r="B350" s="66" t="str">
        <x:v>9º ano</x:v>
      </x:c>
      <x:c r="C350" s="66" t="str">
        <x:v>MODELO_9_ANO</x:v>
      </x:c>
      <x:c r="D350" s="66" t="str">
        <x:v>GERAL</x:v>
      </x:c>
      <x:c r="E350" s="66" t="str">
        <x:v>Geral (total bruto)</x:v>
      </x:c>
      <x:c r="F350" s="66" t="n">
        <x:v>60</x:v>
      </x:c>
      <x:c r="G350" s="66" t="n">
        <x:v>33</x:v>
      </x:c>
      <x:c r="H350" s="67" t="n">
        <x:f>G350/F350</x:f>
        <x:v>0.55</x:v>
      </x:c>
      <x:c r="I350" s="68" t="n">
        <x:f>'Premissas'!$B$15</x:f>
        <x:v>50</x:v>
      </x:c>
      <x:c r="J350" s="68" t="n">
        <x:f>'Premissas'!$G$12</x:f>
        <x:v>1</x:v>
      </x:c>
      <x:c r="K350" s="69" t="n">
        <x:f>ROUND(MAX('Premissas'!$B$5,L350-N350),1)</x:f>
        <x:v>560</x:v>
      </x:c>
      <x:c r="L350" s="69" t="n">
        <x:f>ROUND(MAX('Premissas'!$B$5,MIN('Premissas'!$B$6,'Premissas'!$B$5+('Premissas'!$B$6-'Premissas'!$B$5)*(3*H350^2-2*H350^3)+I350*4*H350*(1-H350))),1)</x:f>
        <x:v>594.4</x:v>
      </x:c>
      <x:c r="M350" s="69" t="n">
        <x:f>ROUND(MIN('Premissas'!$B$6,L350+N350),1)</x:f>
        <x:v>628.8</x:v>
      </x:c>
      <x:c r="N350" s="69" t="n">
        <x:f>ROUND('Premissas'!$B$7*J350*SQRT(10/F350)*4*H350*(1-H350),1)</x:f>
        <x:v>34.4</x:v>
      </x:c>
      <x:c r="O350" s="66" t="str">
        <x:v>PROVISÓRIA</x:v>
      </x:c>
    </x:row>
    <x:row r="351">
      <x:c r="A351" s="56" t="str">
        <x:v>Escala comum 7º–9º</x:v>
      </x:c>
      <x:c r="B351" s="56" t="str">
        <x:v>9º ano</x:v>
      </x:c>
      <x:c r="C351" s="56" t="str">
        <x:v>MODELO_9_ANO</x:v>
      </x:c>
      <x:c r="D351" s="56" t="str">
        <x:v>GERAL</x:v>
      </x:c>
      <x:c r="E351" s="56" t="str">
        <x:v>Geral (total bruto)</x:v>
      </x:c>
      <x:c r="F351" s="56" t="n">
        <x:v>60</x:v>
      </x:c>
      <x:c r="G351" s="56" t="n">
        <x:v>34</x:v>
      </x:c>
      <x:c r="H351" s="70" t="n">
        <x:f>G351/F351</x:f>
        <x:v>0.5666666666666667</x:v>
      </x:c>
      <x:c r="I351" s="59" t="n">
        <x:f>'Premissas'!$B$15</x:f>
        <x:v>50</x:v>
      </x:c>
      <x:c r="J351" s="59" t="n">
        <x:f>'Premissas'!$G$12</x:f>
        <x:v>1</x:v>
      </x:c>
      <x:c r="K351" s="57" t="n">
        <x:f>ROUND(MAX('Premissas'!$B$5,L351-N351),1)</x:f>
        <x:v>574.7</x:v>
      </x:c>
      <x:c r="L351" s="57" t="n">
        <x:f>ROUND(MAX('Premissas'!$B$5,MIN('Premissas'!$B$6,'Premissas'!$B$5+('Premissas'!$B$6-'Premissas'!$B$5)*(3*H351^2-2*H351^3)+I351*4*H351*(1-H351))),1)</x:f>
        <x:v>608.8</x:v>
      </x:c>
      <x:c r="M351" s="57" t="n">
        <x:f>ROUND(MIN('Premissas'!$B$6,L351+N351),1)</x:f>
        <x:v>642.9</x:v>
      </x:c>
      <x:c r="N351" s="57" t="n">
        <x:f>ROUND('Premissas'!$B$7*J351*SQRT(10/F351)*4*H351*(1-H351),1)</x:f>
        <x:v>34.1</x:v>
      </x:c>
      <x:c r="O351" s="56" t="str">
        <x:v>PROVISÓRIA</x:v>
      </x:c>
    </x:row>
    <x:row r="352">
      <x:c r="A352" s="66" t="str">
        <x:v>Escala comum 7º–9º</x:v>
      </x:c>
      <x:c r="B352" s="66" t="str">
        <x:v>9º ano</x:v>
      </x:c>
      <x:c r="C352" s="66" t="str">
        <x:v>MODELO_9_ANO</x:v>
      </x:c>
      <x:c r="D352" s="66" t="str">
        <x:v>GERAL</x:v>
      </x:c>
      <x:c r="E352" s="66" t="str">
        <x:v>Geral (total bruto)</x:v>
      </x:c>
      <x:c r="F352" s="66" t="n">
        <x:v>60</x:v>
      </x:c>
      <x:c r="G352" s="66" t="n">
        <x:v>35</x:v>
      </x:c>
      <x:c r="H352" s="67" t="n">
        <x:f>G352/F352</x:f>
        <x:v>0.5833333333333334</x:v>
      </x:c>
      <x:c r="I352" s="68" t="n">
        <x:f>'Premissas'!$B$15</x:f>
        <x:v>50</x:v>
      </x:c>
      <x:c r="J352" s="68" t="n">
        <x:f>'Premissas'!$G$12</x:f>
        <x:v>1</x:v>
      </x:c>
      <x:c r="K352" s="69" t="n">
        <x:f>ROUND(MAX('Premissas'!$B$5,L352-N352),1)</x:f>
        <x:v>589.2</x:v>
      </x:c>
      <x:c r="L352" s="69" t="n">
        <x:f>ROUND(MAX('Premissas'!$B$5,MIN('Premissas'!$B$6,'Premissas'!$B$5+('Premissas'!$B$6-'Premissas'!$B$5)*(3*H352^2-2*H352^3)+I352*4*H352*(1-H352))),1)</x:f>
        <x:v>622.9</x:v>
      </x:c>
      <x:c r="M352" s="69" t="n">
        <x:f>ROUND(MIN('Premissas'!$B$6,L352+N352),1)</x:f>
        <x:v>656.6</x:v>
      </x:c>
      <x:c r="N352" s="69" t="n">
        <x:f>ROUND('Premissas'!$B$7*J352*SQRT(10/F352)*4*H352*(1-H352),1)</x:f>
        <x:v>33.7</x:v>
      </x:c>
      <x:c r="O352" s="66" t="str">
        <x:v>PROVISÓRIA</x:v>
      </x:c>
    </x:row>
    <x:row r="353">
      <x:c r="A353" s="56" t="str">
        <x:v>Escala comum 7º–9º</x:v>
      </x:c>
      <x:c r="B353" s="56" t="str">
        <x:v>9º ano</x:v>
      </x:c>
      <x:c r="C353" s="56" t="str">
        <x:v>MODELO_9_ANO</x:v>
      </x:c>
      <x:c r="D353" s="56" t="str">
        <x:v>GERAL</x:v>
      </x:c>
      <x:c r="E353" s="56" t="str">
        <x:v>Geral (total bruto)</x:v>
      </x:c>
      <x:c r="F353" s="56" t="n">
        <x:v>60</x:v>
      </x:c>
      <x:c r="G353" s="56" t="n">
        <x:v>36</x:v>
      </x:c>
      <x:c r="H353" s="70" t="n">
        <x:f>G353/F353</x:f>
        <x:v>0.6</x:v>
      </x:c>
      <x:c r="I353" s="59" t="n">
        <x:f>'Premissas'!$B$15</x:f>
        <x:v>50</x:v>
      </x:c>
      <x:c r="J353" s="59" t="n">
        <x:f>'Premissas'!$G$12</x:f>
        <x:v>1</x:v>
      </x:c>
      <x:c r="K353" s="57" t="n">
        <x:f>ROUND(MAX('Premissas'!$B$5,L353-N353),1)</x:f>
        <x:v>603.5</x:v>
      </x:c>
      <x:c r="L353" s="57" t="n">
        <x:f>ROUND(MAX('Premissas'!$B$5,MIN('Premissas'!$B$6,'Premissas'!$B$5+('Premissas'!$B$6-'Premissas'!$B$5)*(3*H353^2-2*H353^3)+I353*4*H353*(1-H353))),1)</x:f>
        <x:v>636.8</x:v>
      </x:c>
      <x:c r="M353" s="57" t="n">
        <x:f>ROUND(MIN('Premissas'!$B$6,L353+N353),1)</x:f>
        <x:v>670.1</x:v>
      </x:c>
      <x:c r="N353" s="57" t="n">
        <x:f>ROUND('Premissas'!$B$7*J353*SQRT(10/F353)*4*H353*(1-H353),1)</x:f>
        <x:v>33.3</x:v>
      </x:c>
      <x:c r="O353" s="56" t="str">
        <x:v>PROVISÓRIA</x:v>
      </x:c>
    </x:row>
    <x:row r="354">
      <x:c r="A354" s="66" t="str">
        <x:v>Escala comum 7º–9º</x:v>
      </x:c>
      <x:c r="B354" s="66" t="str">
        <x:v>9º ano</x:v>
      </x:c>
      <x:c r="C354" s="66" t="str">
        <x:v>MODELO_9_ANO</x:v>
      </x:c>
      <x:c r="D354" s="66" t="str">
        <x:v>GERAL</x:v>
      </x:c>
      <x:c r="E354" s="66" t="str">
        <x:v>Geral (total bruto)</x:v>
      </x:c>
      <x:c r="F354" s="66" t="n">
        <x:v>60</x:v>
      </x:c>
      <x:c r="G354" s="66" t="n">
        <x:v>37</x:v>
      </x:c>
      <x:c r="H354" s="67" t="n">
        <x:f>G354/F354</x:f>
        <x:v>0.6166666666666667</x:v>
      </x:c>
      <x:c r="I354" s="68" t="n">
        <x:f>'Premissas'!$B$15</x:f>
        <x:v>50</x:v>
      </x:c>
      <x:c r="J354" s="68" t="n">
        <x:f>'Premissas'!$G$12</x:f>
        <x:v>1</x:v>
      </x:c>
      <x:c r="K354" s="69" t="n">
        <x:f>ROUND(MAX('Premissas'!$B$5,L354-N354),1)</x:f>
        <x:v>617.6</x:v>
      </x:c>
      <x:c r="L354" s="69" t="n">
        <x:f>ROUND(MAX('Premissas'!$B$5,MIN('Premissas'!$B$6,'Premissas'!$B$5+('Premissas'!$B$6-'Premissas'!$B$5)*(3*H354^2-2*H354^3)+I354*4*H354*(1-H354))),1)</x:f>
        <x:v>650.4</x:v>
      </x:c>
      <x:c r="M354" s="69" t="n">
        <x:f>ROUND(MIN('Premissas'!$B$6,L354+N354),1)</x:f>
        <x:v>683.2</x:v>
      </x:c>
      <x:c r="N354" s="69" t="n">
        <x:f>ROUND('Premissas'!$B$7*J354*SQRT(10/F354)*4*H354*(1-H354),1)</x:f>
        <x:v>32.8</x:v>
      </x:c>
      <x:c r="O354" s="66" t="str">
        <x:v>PROVISÓRIA</x:v>
      </x:c>
    </x:row>
    <x:row r="355">
      <x:c r="A355" s="56" t="str">
        <x:v>Escala comum 7º–9º</x:v>
      </x:c>
      <x:c r="B355" s="56" t="str">
        <x:v>9º ano</x:v>
      </x:c>
      <x:c r="C355" s="56" t="str">
        <x:v>MODELO_9_ANO</x:v>
      </x:c>
      <x:c r="D355" s="56" t="str">
        <x:v>GERAL</x:v>
      </x:c>
      <x:c r="E355" s="56" t="str">
        <x:v>Geral (total bruto)</x:v>
      </x:c>
      <x:c r="F355" s="56" t="n">
        <x:v>60</x:v>
      </x:c>
      <x:c r="G355" s="56" t="n">
        <x:v>38</x:v>
      </x:c>
      <x:c r="H355" s="70" t="n">
        <x:f>G355/F355</x:f>
        <x:v>0.6333333333333333</x:v>
      </x:c>
      <x:c r="I355" s="59" t="n">
        <x:f>'Premissas'!$B$15</x:f>
        <x:v>50</x:v>
      </x:c>
      <x:c r="J355" s="59" t="n">
        <x:f>'Premissas'!$G$12</x:f>
        <x:v>1</x:v>
      </x:c>
      <x:c r="K355" s="57" t="n">
        <x:f>ROUND(MAX('Premissas'!$B$5,L355-N355),1)</x:f>
        <x:v>631.4</x:v>
      </x:c>
      <x:c r="L355" s="57" t="n">
        <x:f>ROUND(MAX('Premissas'!$B$5,MIN('Premissas'!$B$6,'Premissas'!$B$5+('Premissas'!$B$6-'Premissas'!$B$5)*(3*H355^2-2*H355^3)+I355*4*H355*(1-H355))),1)</x:f>
        <x:v>663.6</x:v>
      </x:c>
      <x:c r="M355" s="57" t="n">
        <x:f>ROUND(MIN('Premissas'!$B$6,L355+N355),1)</x:f>
        <x:v>695.8</x:v>
      </x:c>
      <x:c r="N355" s="57" t="n">
        <x:f>ROUND('Premissas'!$B$7*J355*SQRT(10/F355)*4*H355*(1-H355),1)</x:f>
        <x:v>32.2</x:v>
      </x:c>
      <x:c r="O355" s="56" t="str">
        <x:v>PROVISÓRIA</x:v>
      </x:c>
    </x:row>
    <x:row r="356">
      <x:c r="A356" s="66" t="str">
        <x:v>Escala comum 7º–9º</x:v>
      </x:c>
      <x:c r="B356" s="66" t="str">
        <x:v>9º ano</x:v>
      </x:c>
      <x:c r="C356" s="66" t="str">
        <x:v>MODELO_9_ANO</x:v>
      </x:c>
      <x:c r="D356" s="66" t="str">
        <x:v>GERAL</x:v>
      </x:c>
      <x:c r="E356" s="66" t="str">
        <x:v>Geral (total bruto)</x:v>
      </x:c>
      <x:c r="F356" s="66" t="n">
        <x:v>60</x:v>
      </x:c>
      <x:c r="G356" s="66" t="n">
        <x:v>39</x:v>
      </x:c>
      <x:c r="H356" s="67" t="n">
        <x:f>G356/F356</x:f>
        <x:v>0.65</x:v>
      </x:c>
      <x:c r="I356" s="68" t="n">
        <x:f>'Premissas'!$B$15</x:f>
        <x:v>50</x:v>
      </x:c>
      <x:c r="J356" s="68" t="n">
        <x:f>'Premissas'!$G$12</x:f>
        <x:v>1</x:v>
      </x:c>
      <x:c r="K356" s="69" t="n">
        <x:f>ROUND(MAX('Premissas'!$B$5,L356-N356),1)</x:f>
        <x:v>644.9</x:v>
      </x:c>
      <x:c r="L356" s="69" t="n">
        <x:f>ROUND(MAX('Premissas'!$B$5,MIN('Premissas'!$B$6,'Premissas'!$B$5+('Premissas'!$B$6-'Premissas'!$B$5)*(3*H356^2-2*H356^3)+I356*4*H356*(1-H356))),1)</x:f>
        <x:v>676.5</x:v>
      </x:c>
      <x:c r="M356" s="69" t="n">
        <x:f>ROUND(MIN('Premissas'!$B$6,L356+N356),1)</x:f>
        <x:v>708.1</x:v>
      </x:c>
      <x:c r="N356" s="69" t="n">
        <x:f>ROUND('Premissas'!$B$7*J356*SQRT(10/F356)*4*H356*(1-H356),1)</x:f>
        <x:v>31.6</x:v>
      </x:c>
      <x:c r="O356" s="66" t="str">
        <x:v>PROVISÓRIA</x:v>
      </x:c>
    </x:row>
    <x:row r="357">
      <x:c r="A357" s="56" t="str">
        <x:v>Escala comum 7º–9º</x:v>
      </x:c>
      <x:c r="B357" s="56" t="str">
        <x:v>9º ano</x:v>
      </x:c>
      <x:c r="C357" s="56" t="str">
        <x:v>MODELO_9_ANO</x:v>
      </x:c>
      <x:c r="D357" s="56" t="str">
        <x:v>GERAL</x:v>
      </x:c>
      <x:c r="E357" s="56" t="str">
        <x:v>Geral (total bruto)</x:v>
      </x:c>
      <x:c r="F357" s="56" t="n">
        <x:v>60</x:v>
      </x:c>
      <x:c r="G357" s="56" t="n">
        <x:v>40</x:v>
      </x:c>
      <x:c r="H357" s="70" t="n">
        <x:f>G357/F357</x:f>
        <x:v>0.6666666666666666</x:v>
      </x:c>
      <x:c r="I357" s="59" t="n">
        <x:f>'Premissas'!$B$15</x:f>
        <x:v>50</x:v>
      </x:c>
      <x:c r="J357" s="59" t="n">
        <x:f>'Premissas'!$G$12</x:f>
        <x:v>1</x:v>
      </x:c>
      <x:c r="K357" s="57" t="n">
        <x:f>ROUND(MAX('Premissas'!$B$5,L357-N357),1)</x:f>
        <x:v>658.1</x:v>
      </x:c>
      <x:c r="L357" s="57" t="n">
        <x:f>ROUND(MAX('Premissas'!$B$5,MIN('Premissas'!$B$6,'Premissas'!$B$5+('Premissas'!$B$6-'Premissas'!$B$5)*(3*H357^2-2*H357^3)+I357*4*H357*(1-H357))),1)</x:f>
        <x:v>688.9</x:v>
      </x:c>
      <x:c r="M357" s="57" t="n">
        <x:f>ROUND(MIN('Premissas'!$B$6,L357+N357),1)</x:f>
        <x:v>719.7</x:v>
      </x:c>
      <x:c r="N357" s="57" t="n">
        <x:f>ROUND('Premissas'!$B$7*J357*SQRT(10/F357)*4*H357*(1-H357),1)</x:f>
        <x:v>30.8</x:v>
      </x:c>
      <x:c r="O357" s="56" t="str">
        <x:v>PROVISÓRIA</x:v>
      </x:c>
    </x:row>
    <x:row r="358">
      <x:c r="A358" s="66" t="str">
        <x:v>Escala comum 7º–9º</x:v>
      </x:c>
      <x:c r="B358" s="66" t="str">
        <x:v>9º ano</x:v>
      </x:c>
      <x:c r="C358" s="66" t="str">
        <x:v>MODELO_9_ANO</x:v>
      </x:c>
      <x:c r="D358" s="66" t="str">
        <x:v>GERAL</x:v>
      </x:c>
      <x:c r="E358" s="66" t="str">
        <x:v>Geral (total bruto)</x:v>
      </x:c>
      <x:c r="F358" s="66" t="n">
        <x:v>60</x:v>
      </x:c>
      <x:c r="G358" s="66" t="n">
        <x:v>41</x:v>
      </x:c>
      <x:c r="H358" s="67" t="n">
        <x:f>G358/F358</x:f>
        <x:v>0.6833333333333333</x:v>
      </x:c>
      <x:c r="I358" s="68" t="n">
        <x:f>'Premissas'!$B$15</x:f>
        <x:v>50</x:v>
      </x:c>
      <x:c r="J358" s="68" t="n">
        <x:f>'Premissas'!$G$12</x:f>
        <x:v>1</x:v>
      </x:c>
      <x:c r="K358" s="69" t="n">
        <x:f>ROUND(MAX('Premissas'!$B$5,L358-N358),1)</x:f>
        <x:v>670.9</x:v>
      </x:c>
      <x:c r="L358" s="69" t="n">
        <x:f>ROUND(MAX('Premissas'!$B$5,MIN('Premissas'!$B$6,'Premissas'!$B$5+('Premissas'!$B$6-'Premissas'!$B$5)*(3*H358^2-2*H358^3)+I358*4*H358*(1-H358))),1)</x:f>
        <x:v>700.9</x:v>
      </x:c>
      <x:c r="M358" s="69" t="n">
        <x:f>ROUND(MIN('Premissas'!$B$6,L358+N358),1)</x:f>
        <x:v>730.9</x:v>
      </x:c>
      <x:c r="N358" s="69" t="n">
        <x:f>ROUND('Premissas'!$B$7*J358*SQRT(10/F358)*4*H358*(1-H358),1)</x:f>
        <x:v>30</x:v>
      </x:c>
      <x:c r="O358" s="66" t="str">
        <x:v>PROVISÓRIA</x:v>
      </x:c>
    </x:row>
    <x:row r="359">
      <x:c r="A359" s="56" t="str">
        <x:v>Escala comum 7º–9º</x:v>
      </x:c>
      <x:c r="B359" s="56" t="str">
        <x:v>9º ano</x:v>
      </x:c>
      <x:c r="C359" s="56" t="str">
        <x:v>MODELO_9_ANO</x:v>
      </x:c>
      <x:c r="D359" s="56" t="str">
        <x:v>GERAL</x:v>
      </x:c>
      <x:c r="E359" s="56" t="str">
        <x:v>Geral (total bruto)</x:v>
      </x:c>
      <x:c r="F359" s="56" t="n">
        <x:v>60</x:v>
      </x:c>
      <x:c r="G359" s="56" t="n">
        <x:v>42</x:v>
      </x:c>
      <x:c r="H359" s="70" t="n">
        <x:f>G359/F359</x:f>
        <x:v>0.7</x:v>
      </x:c>
      <x:c r="I359" s="59" t="n">
        <x:f>'Premissas'!$B$15</x:f>
        <x:v>50</x:v>
      </x:c>
      <x:c r="J359" s="59" t="n">
        <x:f>'Premissas'!$G$12</x:f>
        <x:v>1</x:v>
      </x:c>
      <x:c r="K359" s="57" t="n">
        <x:f>ROUND(MAX('Premissas'!$B$5,L359-N359),1)</x:f>
        <x:v>683.3</x:v>
      </x:c>
      <x:c r="L359" s="57" t="n">
        <x:f>ROUND(MAX('Premissas'!$B$5,MIN('Premissas'!$B$6,'Premissas'!$B$5+('Premissas'!$B$6-'Premissas'!$B$5)*(3*H359^2-2*H359^3)+I359*4*H359*(1-H359))),1)</x:f>
        <x:v>712.4</x:v>
      </x:c>
      <x:c r="M359" s="57" t="n">
        <x:f>ROUND(MIN('Premissas'!$B$6,L359+N359),1)</x:f>
        <x:v>741.5</x:v>
      </x:c>
      <x:c r="N359" s="57" t="n">
        <x:f>ROUND('Premissas'!$B$7*J359*SQRT(10/F359)*4*H359*(1-H359),1)</x:f>
        <x:v>29.1</x:v>
      </x:c>
      <x:c r="O359" s="56" t="str">
        <x:v>PROVISÓRIA</x:v>
      </x:c>
    </x:row>
    <x:row r="360">
      <x:c r="A360" s="66" t="str">
        <x:v>Escala comum 7º–9º</x:v>
      </x:c>
      <x:c r="B360" s="66" t="str">
        <x:v>9º ano</x:v>
      </x:c>
      <x:c r="C360" s="66" t="str">
        <x:v>MODELO_9_ANO</x:v>
      </x:c>
      <x:c r="D360" s="66" t="str">
        <x:v>GERAL</x:v>
      </x:c>
      <x:c r="E360" s="66" t="str">
        <x:v>Geral (total bruto)</x:v>
      </x:c>
      <x:c r="F360" s="66" t="n">
        <x:v>60</x:v>
      </x:c>
      <x:c r="G360" s="66" t="n">
        <x:v>43</x:v>
      </x:c>
      <x:c r="H360" s="67" t="n">
        <x:f>G360/F360</x:f>
        <x:v>0.7166666666666667</x:v>
      </x:c>
      <x:c r="I360" s="68" t="n">
        <x:f>'Premissas'!$B$15</x:f>
        <x:v>50</x:v>
      </x:c>
      <x:c r="J360" s="68" t="n">
        <x:f>'Premissas'!$G$12</x:f>
        <x:v>1</x:v>
      </x:c>
      <x:c r="K360" s="69" t="n">
        <x:f>ROUND(MAX('Premissas'!$B$5,L360-N360),1)</x:f>
        <x:v>695.2</x:v>
      </x:c>
      <x:c r="L360" s="69" t="n">
        <x:f>ROUND(MAX('Premissas'!$B$5,MIN('Premissas'!$B$6,'Premissas'!$B$5+('Premissas'!$B$6-'Premissas'!$B$5)*(3*H360^2-2*H360^3)+I360*4*H360*(1-H360))),1)</x:f>
        <x:v>723.4</x:v>
      </x:c>
      <x:c r="M360" s="69" t="n">
        <x:f>ROUND(MIN('Premissas'!$B$6,L360+N360),1)</x:f>
        <x:v>751.6</x:v>
      </x:c>
      <x:c r="N360" s="69" t="n">
        <x:f>ROUND('Premissas'!$B$7*J360*SQRT(10/F360)*4*H360*(1-H360),1)</x:f>
        <x:v>28.2</x:v>
      </x:c>
      <x:c r="O360" s="66" t="str">
        <x:v>PROVISÓRIA</x:v>
      </x:c>
    </x:row>
    <x:row r="361">
      <x:c r="A361" s="56" t="str">
        <x:v>Escala comum 7º–9º</x:v>
      </x:c>
      <x:c r="B361" s="56" t="str">
        <x:v>9º ano</x:v>
      </x:c>
      <x:c r="C361" s="56" t="str">
        <x:v>MODELO_9_ANO</x:v>
      </x:c>
      <x:c r="D361" s="56" t="str">
        <x:v>GERAL</x:v>
      </x:c>
      <x:c r="E361" s="56" t="str">
        <x:v>Geral (total bruto)</x:v>
      </x:c>
      <x:c r="F361" s="56" t="n">
        <x:v>60</x:v>
      </x:c>
      <x:c r="G361" s="56" t="n">
        <x:v>44</x:v>
      </x:c>
      <x:c r="H361" s="70" t="n">
        <x:f>G361/F361</x:f>
        <x:v>0.7333333333333333</x:v>
      </x:c>
      <x:c r="I361" s="59" t="n">
        <x:f>'Premissas'!$B$15</x:f>
        <x:v>50</x:v>
      </x:c>
      <x:c r="J361" s="59" t="n">
        <x:f>'Premissas'!$G$12</x:f>
        <x:v>1</x:v>
      </x:c>
      <x:c r="K361" s="57" t="n">
        <x:f>ROUND(MAX('Premissas'!$B$5,L361-N361),1)</x:f>
        <x:v>706.8</x:v>
      </x:c>
      <x:c r="L361" s="57" t="n">
        <x:f>ROUND(MAX('Premissas'!$B$5,MIN('Premissas'!$B$6,'Premissas'!$B$5+('Premissas'!$B$6-'Premissas'!$B$5)*(3*H361^2-2*H361^3)+I361*4*H361*(1-H361))),1)</x:f>
        <x:v>733.9</x:v>
      </x:c>
      <x:c r="M361" s="57" t="n">
        <x:f>ROUND(MIN('Premissas'!$B$6,L361+N361),1)</x:f>
        <x:v>761</x:v>
      </x:c>
      <x:c r="N361" s="57" t="n">
        <x:f>ROUND('Premissas'!$B$7*J361*SQRT(10/F361)*4*H361*(1-H361),1)</x:f>
        <x:v>27.1</x:v>
      </x:c>
      <x:c r="O361" s="56" t="str">
        <x:v>PROVISÓRIA</x:v>
      </x:c>
    </x:row>
    <x:row r="362">
      <x:c r="A362" s="66" t="str">
        <x:v>Escala comum 7º–9º</x:v>
      </x:c>
      <x:c r="B362" s="66" t="str">
        <x:v>9º ano</x:v>
      </x:c>
      <x:c r="C362" s="66" t="str">
        <x:v>MODELO_9_ANO</x:v>
      </x:c>
      <x:c r="D362" s="66" t="str">
        <x:v>GERAL</x:v>
      </x:c>
      <x:c r="E362" s="66" t="str">
        <x:v>Geral (total bruto)</x:v>
      </x:c>
      <x:c r="F362" s="66" t="n">
        <x:v>60</x:v>
      </x:c>
      <x:c r="G362" s="66" t="n">
        <x:v>45</x:v>
      </x:c>
      <x:c r="H362" s="67" t="n">
        <x:f>G362/F362</x:f>
        <x:v>0.75</x:v>
      </x:c>
      <x:c r="I362" s="68" t="n">
        <x:f>'Premissas'!$B$15</x:f>
        <x:v>50</x:v>
      </x:c>
      <x:c r="J362" s="68" t="n">
        <x:f>'Premissas'!$G$12</x:f>
        <x:v>1</x:v>
      </x:c>
      <x:c r="K362" s="69" t="n">
        <x:f>ROUND(MAX('Premissas'!$B$5,L362-N362),1)</x:f>
        <x:v>717.8</x:v>
      </x:c>
      <x:c r="L362" s="69" t="n">
        <x:f>ROUND(MAX('Premissas'!$B$5,MIN('Premissas'!$B$6,'Premissas'!$B$5+('Premissas'!$B$6-'Premissas'!$B$5)*(3*H362^2-2*H362^3)+I362*4*H362*(1-H362))),1)</x:f>
        <x:v>743.8</x:v>
      </x:c>
      <x:c r="M362" s="69" t="n">
        <x:f>ROUND(MIN('Premissas'!$B$6,L362+N362),1)</x:f>
        <x:v>769.8</x:v>
      </x:c>
      <x:c r="N362" s="69" t="n">
        <x:f>ROUND('Premissas'!$B$7*J362*SQRT(10/F362)*4*H362*(1-H362),1)</x:f>
        <x:v>26</x:v>
      </x:c>
      <x:c r="O362" s="66" t="str">
        <x:v>PROVISÓRIA</x:v>
      </x:c>
    </x:row>
    <x:row r="363">
      <x:c r="A363" s="56" t="str">
        <x:v>Escala comum 7º–9º</x:v>
      </x:c>
      <x:c r="B363" s="56" t="str">
        <x:v>9º ano</x:v>
      </x:c>
      <x:c r="C363" s="56" t="str">
        <x:v>MODELO_9_ANO</x:v>
      </x:c>
      <x:c r="D363" s="56" t="str">
        <x:v>GERAL</x:v>
      </x:c>
      <x:c r="E363" s="56" t="str">
        <x:v>Geral (total bruto)</x:v>
      </x:c>
      <x:c r="F363" s="56" t="n">
        <x:v>60</x:v>
      </x:c>
      <x:c r="G363" s="56" t="n">
        <x:v>46</x:v>
      </x:c>
      <x:c r="H363" s="70" t="n">
        <x:f>G363/F363</x:f>
        <x:v>0.7666666666666667</x:v>
      </x:c>
      <x:c r="I363" s="59" t="n">
        <x:f>'Premissas'!$B$15</x:f>
        <x:v>50</x:v>
      </x:c>
      <x:c r="J363" s="59" t="n">
        <x:f>'Premissas'!$G$12</x:f>
        <x:v>1</x:v>
      </x:c>
      <x:c r="K363" s="57" t="n">
        <x:f>ROUND(MAX('Premissas'!$B$5,L363-N363),1)</x:f>
        <x:v>728.2</x:v>
      </x:c>
      <x:c r="L363" s="57" t="n">
        <x:f>ROUND(MAX('Premissas'!$B$5,MIN('Premissas'!$B$6,'Premissas'!$B$5+('Premissas'!$B$6-'Premissas'!$B$5)*(3*H363^2-2*H363^3)+I363*4*H363*(1-H363))),1)</x:f>
        <x:v>753</x:v>
      </x:c>
      <x:c r="M363" s="57" t="n">
        <x:f>ROUND(MIN('Premissas'!$B$6,L363+N363),1)</x:f>
        <x:v>777.8</x:v>
      </x:c>
      <x:c r="N363" s="57" t="n">
        <x:f>ROUND('Premissas'!$B$7*J363*SQRT(10/F363)*4*H363*(1-H363),1)</x:f>
        <x:v>24.8</x:v>
      </x:c>
      <x:c r="O363" s="56" t="str">
        <x:v>PROVISÓRIA</x:v>
      </x:c>
    </x:row>
    <x:row r="364">
      <x:c r="A364" s="66" t="str">
        <x:v>Escala comum 7º–9º</x:v>
      </x:c>
      <x:c r="B364" s="66" t="str">
        <x:v>9º ano</x:v>
      </x:c>
      <x:c r="C364" s="66" t="str">
        <x:v>MODELO_9_ANO</x:v>
      </x:c>
      <x:c r="D364" s="66" t="str">
        <x:v>GERAL</x:v>
      </x:c>
      <x:c r="E364" s="66" t="str">
        <x:v>Geral (total bruto)</x:v>
      </x:c>
      <x:c r="F364" s="66" t="n">
        <x:v>60</x:v>
      </x:c>
      <x:c r="G364" s="66" t="n">
        <x:v>47</x:v>
      </x:c>
      <x:c r="H364" s="67" t="n">
        <x:f>G364/F364</x:f>
        <x:v>0.7833333333333333</x:v>
      </x:c>
      <x:c r="I364" s="68" t="n">
        <x:f>'Premissas'!$B$15</x:f>
        <x:v>50</x:v>
      </x:c>
      <x:c r="J364" s="68" t="n">
        <x:f>'Premissas'!$G$12</x:f>
        <x:v>1</x:v>
      </x:c>
      <x:c r="K364" s="69" t="n">
        <x:f>ROUND(MAX('Premissas'!$B$5,L364-N364),1)</x:f>
        <x:v>738.1</x:v>
      </x:c>
      <x:c r="L364" s="69" t="n">
        <x:f>ROUND(MAX('Premissas'!$B$5,MIN('Premissas'!$B$6,'Premissas'!$B$5+('Premissas'!$B$6-'Premissas'!$B$5)*(3*H364^2-2*H364^3)+I364*4*H364*(1-H364))),1)</x:f>
        <x:v>761.7</x:v>
      </x:c>
      <x:c r="M364" s="69" t="n">
        <x:f>ROUND(MIN('Premissas'!$B$6,L364+N364),1)</x:f>
        <x:v>785.3</x:v>
      </x:c>
      <x:c r="N364" s="69" t="n">
        <x:f>ROUND('Premissas'!$B$7*J364*SQRT(10/F364)*4*H364*(1-H364),1)</x:f>
        <x:v>23.6</x:v>
      </x:c>
      <x:c r="O364" s="66" t="str">
        <x:v>PROVISÓRIA</x:v>
      </x:c>
    </x:row>
    <x:row r="365">
      <x:c r="A365" s="56" t="str">
        <x:v>Escala comum 7º–9º</x:v>
      </x:c>
      <x:c r="B365" s="56" t="str">
        <x:v>9º ano</x:v>
      </x:c>
      <x:c r="C365" s="56" t="str">
        <x:v>MODELO_9_ANO</x:v>
      </x:c>
      <x:c r="D365" s="56" t="str">
        <x:v>GERAL</x:v>
      </x:c>
      <x:c r="E365" s="56" t="str">
        <x:v>Geral (total bruto)</x:v>
      </x:c>
      <x:c r="F365" s="56" t="n">
        <x:v>60</x:v>
      </x:c>
      <x:c r="G365" s="56" t="n">
        <x:v>48</x:v>
      </x:c>
      <x:c r="H365" s="70" t="n">
        <x:f>G365/F365</x:f>
        <x:v>0.8</x:v>
      </x:c>
      <x:c r="I365" s="59" t="n">
        <x:f>'Premissas'!$B$15</x:f>
        <x:v>50</x:v>
      </x:c>
      <x:c r="J365" s="59" t="n">
        <x:f>'Premissas'!$G$12</x:f>
        <x:v>1</x:v>
      </x:c>
      <x:c r="K365" s="57" t="n">
        <x:f>ROUND(MAX('Premissas'!$B$5,L365-N365),1)</x:f>
        <x:v>747.4</x:v>
      </x:c>
      <x:c r="L365" s="57" t="n">
        <x:f>ROUND(MAX('Premissas'!$B$5,MIN('Premissas'!$B$6,'Premissas'!$B$5+('Premissas'!$B$6-'Premissas'!$B$5)*(3*H365^2-2*H365^3)+I365*4*H365*(1-H365))),1)</x:f>
        <x:v>769.6</x:v>
      </x:c>
      <x:c r="M365" s="57" t="n">
        <x:f>ROUND(MIN('Premissas'!$B$6,L365+N365),1)</x:f>
        <x:v>791.8</x:v>
      </x:c>
      <x:c r="N365" s="57" t="n">
        <x:f>ROUND('Premissas'!$B$7*J365*SQRT(10/F365)*4*H365*(1-H365),1)</x:f>
        <x:v>22.2</x:v>
      </x:c>
      <x:c r="O365" s="56" t="str">
        <x:v>PROVISÓRIA</x:v>
      </x:c>
    </x:row>
    <x:row r="366">
      <x:c r="A366" s="66" t="str">
        <x:v>Escala comum 7º–9º</x:v>
      </x:c>
      <x:c r="B366" s="66" t="str">
        <x:v>9º ano</x:v>
      </x:c>
      <x:c r="C366" s="66" t="str">
        <x:v>MODELO_9_ANO</x:v>
      </x:c>
      <x:c r="D366" s="66" t="str">
        <x:v>GERAL</x:v>
      </x:c>
      <x:c r="E366" s="66" t="str">
        <x:v>Geral (total bruto)</x:v>
      </x:c>
      <x:c r="F366" s="66" t="n">
        <x:v>60</x:v>
      </x:c>
      <x:c r="G366" s="66" t="n">
        <x:v>49</x:v>
      </x:c>
      <x:c r="H366" s="67" t="n">
        <x:f>G366/F366</x:f>
        <x:v>0.8166666666666667</x:v>
      </x:c>
      <x:c r="I366" s="68" t="n">
        <x:f>'Premissas'!$B$15</x:f>
        <x:v>50</x:v>
      </x:c>
      <x:c r="J366" s="68" t="n">
        <x:f>'Premissas'!$G$12</x:f>
        <x:v>1</x:v>
      </x:c>
      <x:c r="K366" s="69" t="n">
        <x:f>ROUND(MAX('Premissas'!$B$5,L366-N366),1)</x:f>
        <x:v>756</x:v>
      </x:c>
      <x:c r="L366" s="69" t="n">
        <x:f>ROUND(MAX('Premissas'!$B$5,MIN('Premissas'!$B$6,'Premissas'!$B$5+('Premissas'!$B$6-'Premissas'!$B$5)*(3*H366^2-2*H366^3)+I366*4*H366*(1-H366))),1)</x:f>
        <x:v>776.8</x:v>
      </x:c>
      <x:c r="M366" s="69" t="n">
        <x:f>ROUND(MIN('Premissas'!$B$6,L366+N366),1)</x:f>
        <x:v>797.6</x:v>
      </x:c>
      <x:c r="N366" s="69" t="n">
        <x:f>ROUND('Premissas'!$B$7*J366*SQRT(10/F366)*4*H366*(1-H366),1)</x:f>
        <x:v>20.8</x:v>
      </x:c>
      <x:c r="O366" s="66" t="str">
        <x:v>PROVISÓRIA</x:v>
      </x:c>
    </x:row>
    <x:row r="367">
      <x:c r="A367" s="56" t="str">
        <x:v>Escala comum 7º–9º</x:v>
      </x:c>
      <x:c r="B367" s="56" t="str">
        <x:v>9º ano</x:v>
      </x:c>
      <x:c r="C367" s="56" t="str">
        <x:v>MODELO_9_ANO</x:v>
      </x:c>
      <x:c r="D367" s="56" t="str">
        <x:v>GERAL</x:v>
      </x:c>
      <x:c r="E367" s="56" t="str">
        <x:v>Geral (total bruto)</x:v>
      </x:c>
      <x:c r="F367" s="56" t="n">
        <x:v>60</x:v>
      </x:c>
      <x:c r="G367" s="56" t="n">
        <x:v>50</x:v>
      </x:c>
      <x:c r="H367" s="70" t="n">
        <x:f>G367/F367</x:f>
        <x:v>0.8333333333333334</x:v>
      </x:c>
      <x:c r="I367" s="59" t="n">
        <x:f>'Premissas'!$B$15</x:f>
        <x:v>50</x:v>
      </x:c>
      <x:c r="J367" s="59" t="n">
        <x:f>'Premissas'!$G$12</x:f>
        <x:v>1</x:v>
      </x:c>
      <x:c r="K367" s="57" t="n">
        <x:f>ROUND(MAX('Premissas'!$B$5,L367-N367),1)</x:f>
        <x:v>764</x:v>
      </x:c>
      <x:c r="L367" s="57" t="n">
        <x:f>ROUND(MAX('Premissas'!$B$5,MIN('Premissas'!$B$6,'Premissas'!$B$5+('Premissas'!$B$6-'Premissas'!$B$5)*(3*H367^2-2*H367^3)+I367*4*H367*(1-H367))),1)</x:f>
        <x:v>783.3</x:v>
      </x:c>
      <x:c r="M367" s="57" t="n">
        <x:f>ROUND(MIN('Premissas'!$B$6,L367+N367),1)</x:f>
        <x:v>800</x:v>
      </x:c>
      <x:c r="N367" s="57" t="n">
        <x:f>ROUND('Premissas'!$B$7*J367*SQRT(10/F367)*4*H367*(1-H367),1)</x:f>
        <x:v>19.3</x:v>
      </x:c>
      <x:c r="O367" s="56" t="str">
        <x:v>PROVISÓRIA</x:v>
      </x:c>
    </x:row>
    <x:row r="368">
      <x:c r="A368" s="66" t="str">
        <x:v>Escala comum 7º–9º</x:v>
      </x:c>
      <x:c r="B368" s="66" t="str">
        <x:v>9º ano</x:v>
      </x:c>
      <x:c r="C368" s="66" t="str">
        <x:v>MODELO_9_ANO</x:v>
      </x:c>
      <x:c r="D368" s="66" t="str">
        <x:v>GERAL</x:v>
      </x:c>
      <x:c r="E368" s="66" t="str">
        <x:v>Geral (total bruto)</x:v>
      </x:c>
      <x:c r="F368" s="66" t="n">
        <x:v>60</x:v>
      </x:c>
      <x:c r="G368" s="66" t="n">
        <x:v>51</x:v>
      </x:c>
      <x:c r="H368" s="67" t="n">
        <x:f>G368/F368</x:f>
        <x:v>0.85</x:v>
      </x:c>
      <x:c r="I368" s="68" t="n">
        <x:f>'Premissas'!$B$15</x:f>
        <x:v>50</x:v>
      </x:c>
      <x:c r="J368" s="68" t="n">
        <x:f>'Premissas'!$G$12</x:f>
        <x:v>1</x:v>
      </x:c>
      <x:c r="K368" s="69" t="n">
        <x:f>ROUND(MAX('Premissas'!$B$5,L368-N368),1)</x:f>
        <x:v>771.3</x:v>
      </x:c>
      <x:c r="L368" s="69" t="n">
        <x:f>ROUND(MAX('Premissas'!$B$5,MIN('Premissas'!$B$6,'Premissas'!$B$5+('Premissas'!$B$6-'Premissas'!$B$5)*(3*H368^2-2*H368^3)+I368*4*H368*(1-H368))),1)</x:f>
        <x:v>789</x:v>
      </x:c>
      <x:c r="M368" s="69" t="n">
        <x:f>ROUND(MIN('Premissas'!$B$6,L368+N368),1)</x:f>
        <x:v>800</x:v>
      </x:c>
      <x:c r="N368" s="69" t="n">
        <x:f>ROUND('Premissas'!$B$7*J368*SQRT(10/F368)*4*H368*(1-H368),1)</x:f>
        <x:v>17.7</x:v>
      </x:c>
      <x:c r="O368" s="66" t="str">
        <x:v>PROVISÓRIA</x:v>
      </x:c>
    </x:row>
    <x:row r="369">
      <x:c r="A369" s="56" t="str">
        <x:v>Escala comum 7º–9º</x:v>
      </x:c>
      <x:c r="B369" s="56" t="str">
        <x:v>9º ano</x:v>
      </x:c>
      <x:c r="C369" s="56" t="str">
        <x:v>MODELO_9_ANO</x:v>
      </x:c>
      <x:c r="D369" s="56" t="str">
        <x:v>GERAL</x:v>
      </x:c>
      <x:c r="E369" s="56" t="str">
        <x:v>Geral (total bruto)</x:v>
      </x:c>
      <x:c r="F369" s="56" t="n">
        <x:v>60</x:v>
      </x:c>
      <x:c r="G369" s="56" t="n">
        <x:v>52</x:v>
      </x:c>
      <x:c r="H369" s="70" t="n">
        <x:f>G369/F369</x:f>
        <x:v>0.8666666666666667</x:v>
      </x:c>
      <x:c r="I369" s="59" t="n">
        <x:f>'Premissas'!$B$15</x:f>
        <x:v>50</x:v>
      </x:c>
      <x:c r="J369" s="59" t="n">
        <x:f>'Premissas'!$G$12</x:f>
        <x:v>1</x:v>
      </x:c>
      <x:c r="K369" s="57" t="n">
        <x:f>ROUND(MAX('Premissas'!$B$5,L369-N369),1)</x:f>
        <x:v>778</x:v>
      </x:c>
      <x:c r="L369" s="57" t="n">
        <x:f>ROUND(MAX('Premissas'!$B$5,MIN('Premissas'!$B$6,'Premissas'!$B$5+('Premissas'!$B$6-'Premissas'!$B$5)*(3*H369^2-2*H369^3)+I369*4*H369*(1-H369))),1)</x:f>
        <x:v>794</x:v>
      </x:c>
      <x:c r="M369" s="57" t="n">
        <x:f>ROUND(MIN('Premissas'!$B$6,L369+N369),1)</x:f>
        <x:v>800</x:v>
      </x:c>
      <x:c r="N369" s="57" t="n">
        <x:f>ROUND('Premissas'!$B$7*J369*SQRT(10/F369)*4*H369*(1-H369),1)</x:f>
        <x:v>16</x:v>
      </x:c>
      <x:c r="O369" s="56" t="str">
        <x:v>PROVISÓRIA</x:v>
      </x:c>
    </x:row>
    <x:row r="370">
      <x:c r="A370" s="66" t="str">
        <x:v>Escala comum 7º–9º</x:v>
      </x:c>
      <x:c r="B370" s="66" t="str">
        <x:v>9º ano</x:v>
      </x:c>
      <x:c r="C370" s="66" t="str">
        <x:v>MODELO_9_ANO</x:v>
      </x:c>
      <x:c r="D370" s="66" t="str">
        <x:v>GERAL</x:v>
      </x:c>
      <x:c r="E370" s="66" t="str">
        <x:v>Geral (total bruto)</x:v>
      </x:c>
      <x:c r="F370" s="66" t="n">
        <x:v>60</x:v>
      </x:c>
      <x:c r="G370" s="66" t="n">
        <x:v>53</x:v>
      </x:c>
      <x:c r="H370" s="67" t="n">
        <x:f>G370/F370</x:f>
        <x:v>0.8833333333333333</x:v>
      </x:c>
      <x:c r="I370" s="68" t="n">
        <x:f>'Premissas'!$B$15</x:f>
        <x:v>50</x:v>
      </x:c>
      <x:c r="J370" s="68" t="n">
        <x:f>'Premissas'!$G$12</x:f>
        <x:v>1</x:v>
      </x:c>
      <x:c r="K370" s="69" t="n">
        <x:f>ROUND(MAX('Premissas'!$B$5,L370-N370),1)</x:f>
        <x:v>783.7</x:v>
      </x:c>
      <x:c r="L370" s="69" t="n">
        <x:f>ROUND(MAX('Premissas'!$B$5,MIN('Premissas'!$B$6,'Premissas'!$B$5+('Premissas'!$B$6-'Premissas'!$B$5)*(3*H370^2-2*H370^3)+I370*4*H370*(1-H370))),1)</x:f>
        <x:v>798</x:v>
      </x:c>
      <x:c r="M370" s="69" t="n">
        <x:f>ROUND(MIN('Premissas'!$B$6,L370+N370),1)</x:f>
        <x:v>800</x:v>
      </x:c>
      <x:c r="N370" s="69" t="n">
        <x:f>ROUND('Premissas'!$B$7*J370*SQRT(10/F370)*4*H370*(1-H370),1)</x:f>
        <x:v>14.3</x:v>
      </x:c>
      <x:c r="O370" s="66" t="str">
        <x:v>PROVISÓRIA</x:v>
      </x:c>
    </x:row>
    <x:row r="371">
      <x:c r="A371" s="56" t="str">
        <x:v>Escala comum 7º–9º</x:v>
      </x:c>
      <x:c r="B371" s="56" t="str">
        <x:v>9º ano</x:v>
      </x:c>
      <x:c r="C371" s="56" t="str">
        <x:v>MODELO_9_ANO</x:v>
      </x:c>
      <x:c r="D371" s="56" t="str">
        <x:v>GERAL</x:v>
      </x:c>
      <x:c r="E371" s="56" t="str">
        <x:v>Geral (total bruto)</x:v>
      </x:c>
      <x:c r="F371" s="56" t="n">
        <x:v>60</x:v>
      </x:c>
      <x:c r="G371" s="56" t="n">
        <x:v>54</x:v>
      </x:c>
      <x:c r="H371" s="70" t="n">
        <x:f>G371/F371</x:f>
        <x:v>0.9</x:v>
      </x:c>
      <x:c r="I371" s="59" t="n">
        <x:f>'Premissas'!$B$15</x:f>
        <x:v>50</x:v>
      </x:c>
      <x:c r="J371" s="59" t="n">
        <x:f>'Premissas'!$G$12</x:f>
        <x:v>1</x:v>
      </x:c>
      <x:c r="K371" s="57" t="n">
        <x:f>ROUND(MAX('Premissas'!$B$5,L371-N371),1)</x:f>
        <x:v>787.5</x:v>
      </x:c>
      <x:c r="L371" s="57" t="n">
        <x:f>ROUND(MAX('Premissas'!$B$5,MIN('Premissas'!$B$6,'Premissas'!$B$5+('Premissas'!$B$6-'Premissas'!$B$5)*(3*H371^2-2*H371^3)+I371*4*H371*(1-H371))),1)</x:f>
        <x:v>800</x:v>
      </x:c>
      <x:c r="M371" s="57" t="n">
        <x:f>ROUND(MIN('Premissas'!$B$6,L371+N371),1)</x:f>
        <x:v>800</x:v>
      </x:c>
      <x:c r="N371" s="57" t="n">
        <x:f>ROUND('Premissas'!$B$7*J371*SQRT(10/F371)*4*H371*(1-H371),1)</x:f>
        <x:v>12.5</x:v>
      </x:c>
      <x:c r="O371" s="56" t="str">
        <x:v>PROVISÓRIA</x:v>
      </x:c>
    </x:row>
    <x:row r="372">
      <x:c r="A372" s="66" t="str">
        <x:v>Escala comum 7º–9º</x:v>
      </x:c>
      <x:c r="B372" s="66" t="str">
        <x:v>9º ano</x:v>
      </x:c>
      <x:c r="C372" s="66" t="str">
        <x:v>MODELO_9_ANO</x:v>
      </x:c>
      <x:c r="D372" s="66" t="str">
        <x:v>GERAL</x:v>
      </x:c>
      <x:c r="E372" s="66" t="str">
        <x:v>Geral (total bruto)</x:v>
      </x:c>
      <x:c r="F372" s="66" t="n">
        <x:v>60</x:v>
      </x:c>
      <x:c r="G372" s="66" t="n">
        <x:v>55</x:v>
      </x:c>
      <x:c r="H372" s="67" t="n">
        <x:f>G372/F372</x:f>
        <x:v>0.9166666666666666</x:v>
      </x:c>
      <x:c r="I372" s="68" t="n">
        <x:f>'Premissas'!$B$15</x:f>
        <x:v>50</x:v>
      </x:c>
      <x:c r="J372" s="68" t="n">
        <x:f>'Premissas'!$G$12</x:f>
        <x:v>1</x:v>
      </x:c>
      <x:c r="K372" s="69" t="n">
        <x:f>ROUND(MAX('Premissas'!$B$5,L372-N372),1)</x:f>
        <x:v>789.4</x:v>
      </x:c>
      <x:c r="L372" s="69" t="n">
        <x:f>ROUND(MAX('Premissas'!$B$5,MIN('Premissas'!$B$6,'Premissas'!$B$5+('Premissas'!$B$6-'Premissas'!$B$5)*(3*H372^2-2*H372^3)+I372*4*H372*(1-H372))),1)</x:f>
        <x:v>800</x:v>
      </x:c>
      <x:c r="M372" s="69" t="n">
        <x:f>ROUND(MIN('Premissas'!$B$6,L372+N372),1)</x:f>
        <x:v>800</x:v>
      </x:c>
      <x:c r="N372" s="69" t="n">
        <x:f>ROUND('Premissas'!$B$7*J372*SQRT(10/F372)*4*H372*(1-H372),1)</x:f>
        <x:v>10.6</x:v>
      </x:c>
      <x:c r="O372" s="66" t="str">
        <x:v>PROVISÓRIA</x:v>
      </x:c>
    </x:row>
    <x:row r="373">
      <x:c r="A373" s="56" t="str">
        <x:v>Escala comum 7º–9º</x:v>
      </x:c>
      <x:c r="B373" s="56" t="str">
        <x:v>9º ano</x:v>
      </x:c>
      <x:c r="C373" s="56" t="str">
        <x:v>MODELO_9_ANO</x:v>
      </x:c>
      <x:c r="D373" s="56" t="str">
        <x:v>GERAL</x:v>
      </x:c>
      <x:c r="E373" s="56" t="str">
        <x:v>Geral (total bruto)</x:v>
      </x:c>
      <x:c r="F373" s="56" t="n">
        <x:v>60</x:v>
      </x:c>
      <x:c r="G373" s="56" t="n">
        <x:v>56</x:v>
      </x:c>
      <x:c r="H373" s="70" t="n">
        <x:f>G373/F373</x:f>
        <x:v>0.9333333333333333</x:v>
      </x:c>
      <x:c r="I373" s="59" t="n">
        <x:f>'Premissas'!$B$15</x:f>
        <x:v>50</x:v>
      </x:c>
      <x:c r="J373" s="59" t="n">
        <x:f>'Premissas'!$G$12</x:f>
        <x:v>1</x:v>
      </x:c>
      <x:c r="K373" s="57" t="n">
        <x:f>ROUND(MAX('Premissas'!$B$5,L373-N373),1)</x:f>
        <x:v>791.4</x:v>
      </x:c>
      <x:c r="L373" s="57" t="n">
        <x:f>ROUND(MAX('Premissas'!$B$5,MIN('Premissas'!$B$6,'Premissas'!$B$5+('Premissas'!$B$6-'Premissas'!$B$5)*(3*H373^2-2*H373^3)+I373*4*H373*(1-H373))),1)</x:f>
        <x:v>800</x:v>
      </x:c>
      <x:c r="M373" s="57" t="n">
        <x:f>ROUND(MIN('Premissas'!$B$6,L373+N373),1)</x:f>
        <x:v>800</x:v>
      </x:c>
      <x:c r="N373" s="57" t="n">
        <x:f>ROUND('Premissas'!$B$7*J373*SQRT(10/F373)*4*H373*(1-H373),1)</x:f>
        <x:v>8.6</x:v>
      </x:c>
      <x:c r="O373" s="56" t="str">
        <x:v>PROVISÓRIA</x:v>
      </x:c>
    </x:row>
    <x:row r="374">
      <x:c r="A374" s="66" t="str">
        <x:v>Escala comum 7º–9º</x:v>
      </x:c>
      <x:c r="B374" s="66" t="str">
        <x:v>9º ano</x:v>
      </x:c>
      <x:c r="C374" s="66" t="str">
        <x:v>MODELO_9_ANO</x:v>
      </x:c>
      <x:c r="D374" s="66" t="str">
        <x:v>GERAL</x:v>
      </x:c>
      <x:c r="E374" s="66" t="str">
        <x:v>Geral (total bruto)</x:v>
      </x:c>
      <x:c r="F374" s="66" t="n">
        <x:v>60</x:v>
      </x:c>
      <x:c r="G374" s="66" t="n">
        <x:v>57</x:v>
      </x:c>
      <x:c r="H374" s="67" t="n">
        <x:f>G374/F374</x:f>
        <x:v>0.95</x:v>
      </x:c>
      <x:c r="I374" s="68" t="n">
        <x:f>'Premissas'!$B$15</x:f>
        <x:v>50</x:v>
      </x:c>
      <x:c r="J374" s="68" t="n">
        <x:f>'Premissas'!$G$12</x:f>
        <x:v>1</x:v>
      </x:c>
      <x:c r="K374" s="69" t="n">
        <x:f>ROUND(MAX('Premissas'!$B$5,L374-N374),1)</x:f>
        <x:v>793.4</x:v>
      </x:c>
      <x:c r="L374" s="69" t="n">
        <x:f>ROUND(MAX('Premissas'!$B$5,MIN('Premissas'!$B$6,'Premissas'!$B$5+('Premissas'!$B$6-'Premissas'!$B$5)*(3*H374^2-2*H374^3)+I374*4*H374*(1-H374))),1)</x:f>
        <x:v>800</x:v>
      </x:c>
      <x:c r="M374" s="69" t="n">
        <x:f>ROUND(MIN('Premissas'!$B$6,L374+N374),1)</x:f>
        <x:v>800</x:v>
      </x:c>
      <x:c r="N374" s="69" t="n">
        <x:f>ROUND('Premissas'!$B$7*J374*SQRT(10/F374)*4*H374*(1-H374),1)</x:f>
        <x:v>6.6</x:v>
      </x:c>
      <x:c r="O374" s="66" t="str">
        <x:v>PROVISÓRIA</x:v>
      </x:c>
    </x:row>
    <x:row r="375">
      <x:c r="A375" s="56" t="str">
        <x:v>Escala comum 7º–9º</x:v>
      </x:c>
      <x:c r="B375" s="56" t="str">
        <x:v>9º ano</x:v>
      </x:c>
      <x:c r="C375" s="56" t="str">
        <x:v>MODELO_9_ANO</x:v>
      </x:c>
      <x:c r="D375" s="56" t="str">
        <x:v>GERAL</x:v>
      </x:c>
      <x:c r="E375" s="56" t="str">
        <x:v>Geral (total bruto)</x:v>
      </x:c>
      <x:c r="F375" s="56" t="n">
        <x:v>60</x:v>
      </x:c>
      <x:c r="G375" s="56" t="n">
        <x:v>58</x:v>
      </x:c>
      <x:c r="H375" s="70" t="n">
        <x:f>G375/F375</x:f>
        <x:v>0.9666666666666667</x:v>
      </x:c>
      <x:c r="I375" s="59" t="n">
        <x:f>'Premissas'!$B$15</x:f>
        <x:v>50</x:v>
      </x:c>
      <x:c r="J375" s="59" t="n">
        <x:f>'Premissas'!$G$12</x:f>
        <x:v>1</x:v>
      </x:c>
      <x:c r="K375" s="57" t="n">
        <x:f>ROUND(MAX('Premissas'!$B$5,L375-N375),1)</x:f>
        <x:v>795.5</x:v>
      </x:c>
      <x:c r="L375" s="57" t="n">
        <x:f>ROUND(MAX('Premissas'!$B$5,MIN('Premissas'!$B$6,'Premissas'!$B$5+('Premissas'!$B$6-'Premissas'!$B$5)*(3*H375^2-2*H375^3)+I375*4*H375*(1-H375))),1)</x:f>
        <x:v>800</x:v>
      </x:c>
      <x:c r="M375" s="57" t="n">
        <x:f>ROUND(MIN('Premissas'!$B$6,L375+N375),1)</x:f>
        <x:v>800</x:v>
      </x:c>
      <x:c r="N375" s="57" t="n">
        <x:f>ROUND('Premissas'!$B$7*J375*SQRT(10/F375)*4*H375*(1-H375),1)</x:f>
        <x:v>4.5</x:v>
      </x:c>
      <x:c r="O375" s="56" t="str">
        <x:v>PROVISÓRIA</x:v>
      </x:c>
    </x:row>
    <x:row r="376">
      <x:c r="A376" s="66" t="str">
        <x:v>Escala comum 7º–9º</x:v>
      </x:c>
      <x:c r="B376" s="66" t="str">
        <x:v>9º ano</x:v>
      </x:c>
      <x:c r="C376" s="66" t="str">
        <x:v>MODELO_9_ANO</x:v>
      </x:c>
      <x:c r="D376" s="66" t="str">
        <x:v>GERAL</x:v>
      </x:c>
      <x:c r="E376" s="66" t="str">
        <x:v>Geral (total bruto)</x:v>
      </x:c>
      <x:c r="F376" s="66" t="n">
        <x:v>60</x:v>
      </x:c>
      <x:c r="G376" s="66" t="n">
        <x:v>59</x:v>
      </x:c>
      <x:c r="H376" s="67" t="n">
        <x:f>G376/F376</x:f>
        <x:v>0.9833333333333333</x:v>
      </x:c>
      <x:c r="I376" s="68" t="n">
        <x:f>'Premissas'!$B$15</x:f>
        <x:v>50</x:v>
      </x:c>
      <x:c r="J376" s="68" t="n">
        <x:f>'Premissas'!$G$12</x:f>
        <x:v>1</x:v>
      </x:c>
      <x:c r="K376" s="69" t="n">
        <x:f>ROUND(MAX('Premissas'!$B$5,L376-N376),1)</x:f>
        <x:v>797.7</x:v>
      </x:c>
      <x:c r="L376" s="69" t="n">
        <x:f>ROUND(MAX('Premissas'!$B$5,MIN('Premissas'!$B$6,'Premissas'!$B$5+('Premissas'!$B$6-'Premissas'!$B$5)*(3*H376^2-2*H376^3)+I376*4*H376*(1-H376))),1)</x:f>
        <x:v>800</x:v>
      </x:c>
      <x:c r="M376" s="69" t="n">
        <x:f>ROUND(MIN('Premissas'!$B$6,L376+N376),1)</x:f>
        <x:v>800</x:v>
      </x:c>
      <x:c r="N376" s="69" t="n">
        <x:f>ROUND('Premissas'!$B$7*J376*SQRT(10/F376)*4*H376*(1-H376),1)</x:f>
        <x:v>2.3</x:v>
      </x:c>
      <x:c r="O376" s="66" t="str">
        <x:v>PROVISÓRIA</x:v>
      </x:c>
    </x:row>
    <x:row r="377">
      <x:c r="A377" s="56" t="str">
        <x:v>Escala comum 7º–9º</x:v>
      </x:c>
      <x:c r="B377" s="56" t="str">
        <x:v>9º ano</x:v>
      </x:c>
      <x:c r="C377" s="56" t="str">
        <x:v>MODELO_9_ANO</x:v>
      </x:c>
      <x:c r="D377" s="56" t="str">
        <x:v>GERAL</x:v>
      </x:c>
      <x:c r="E377" s="56" t="str">
        <x:v>Geral (total bruto)</x:v>
      </x:c>
      <x:c r="F377" s="56" t="n">
        <x:v>60</x:v>
      </x:c>
      <x:c r="G377" s="56" t="n">
        <x:v>60</x:v>
      </x:c>
      <x:c r="H377" s="70" t="n">
        <x:f>G377/F377</x:f>
        <x:v>1</x:v>
      </x:c>
      <x:c r="I377" s="59" t="n">
        <x:f>'Premissas'!$B$15</x:f>
        <x:v>50</x:v>
      </x:c>
      <x:c r="J377" s="59" t="n">
        <x:f>'Premissas'!$G$12</x:f>
        <x:v>1</x:v>
      </x:c>
      <x:c r="K377" s="57" t="n">
        <x:f>ROUND(MAX('Premissas'!$B$5,L377-N377),1)</x:f>
        <x:v>800</x:v>
      </x:c>
      <x:c r="L377" s="57" t="n">
        <x:f>ROUND(MAX('Premissas'!$B$5,MIN('Premissas'!$B$6,'Premissas'!$B$5+('Premissas'!$B$6-'Premissas'!$B$5)*(3*H377^2-2*H377^3)+I377*4*H377*(1-H377))),1)</x:f>
        <x:v>800</x:v>
      </x:c>
      <x:c r="M377" s="57" t="n">
        <x:f>ROUND(MIN('Premissas'!$B$6,L377+N377),1)</x:f>
        <x:v>800</x:v>
      </x:c>
      <x:c r="N377" s="57" t="n">
        <x:f>ROUND('Premissas'!$B$7*J377*SQRT(10/F377)*4*H377*(1-H377),1)</x:f>
        <x:v>0</x:v>
      </x:c>
      <x:c r="O377" s="56" t="str">
        <x:v>PROVISÓRIA</x:v>
      </x:c>
    </x:row>
    <x:row r="378">
      <x:c r="A378" s="66" t="str">
        <x:v>Escala comum 7º–9º</x:v>
      </x:c>
      <x:c r="B378" s="66" t="str">
        <x:v>9º ano</x:v>
      </x:c>
      <x:c r="C378" s="66" t="str">
        <x:v>MODELO_9_ANO</x:v>
      </x:c>
      <x:c r="D378" s="66" t="str">
        <x:v>LC</x:v>
      </x:c>
      <x:c r="E378" s="66" t="str">
        <x:v>Linguagens</x:v>
      </x:c>
      <x:c r="F378" s="66" t="n">
        <x:v>20</x:v>
      </x:c>
      <x:c r="G378" s="66" t="n">
        <x:v>0</x:v>
      </x:c>
      <x:c r="H378" s="67" t="n">
        <x:f>G378/F378</x:f>
        <x:v>0</x:v>
      </x:c>
      <x:c r="I378" s="68" t="n">
        <x:f>'Premissas'!$B$15</x:f>
        <x:v>50</x:v>
      </x:c>
      <x:c r="J378" s="68" t="n">
        <x:f>'Premissas'!$G$13</x:f>
        <x:v>1</x:v>
      </x:c>
      <x:c r="K378" s="69" t="n">
        <x:f>ROUND(MAX('Premissas'!$B$5,L378-N378),1)</x:f>
        <x:v>200</x:v>
      </x:c>
      <x:c r="L378" s="69" t="n">
        <x:f>ROUND(MAX('Premissas'!$B$5,MIN('Premissas'!$B$6,'Premissas'!$B$5+('Premissas'!$B$6-'Premissas'!$B$5)*(3*H378^2-2*H378^3)+I378*4*H378*(1-H378))),1)</x:f>
        <x:v>200</x:v>
      </x:c>
      <x:c r="M378" s="69" t="n">
        <x:f>ROUND(MIN('Premissas'!$B$6,L378+N378),1)</x:f>
        <x:v>200</x:v>
      </x:c>
      <x:c r="N378" s="69" t="n">
        <x:f>ROUND('Premissas'!$B$7*J378*SQRT(10/F378)*4*H378*(1-H378),1)</x:f>
        <x:v>0</x:v>
      </x:c>
      <x:c r="O378" s="66" t="str">
        <x:v>PROVISÓRIA</x:v>
      </x:c>
    </x:row>
    <x:row r="379">
      <x:c r="A379" s="56" t="str">
        <x:v>Escala comum 7º–9º</x:v>
      </x:c>
      <x:c r="B379" s="56" t="str">
        <x:v>9º ano</x:v>
      </x:c>
      <x:c r="C379" s="56" t="str">
        <x:v>MODELO_9_ANO</x:v>
      </x:c>
      <x:c r="D379" s="56" t="str">
        <x:v>LC</x:v>
      </x:c>
      <x:c r="E379" s="56" t="str">
        <x:v>Linguagens</x:v>
      </x:c>
      <x:c r="F379" s="56" t="n">
        <x:v>20</x:v>
      </x:c>
      <x:c r="G379" s="56" t="n">
        <x:v>1</x:v>
      </x:c>
      <x:c r="H379" s="70" t="n">
        <x:f>G379/F379</x:f>
        <x:v>0.05</x:v>
      </x:c>
      <x:c r="I379" s="59" t="n">
        <x:f>'Premissas'!$B$15</x:f>
        <x:v>50</x:v>
      </x:c>
      <x:c r="J379" s="59" t="n">
        <x:f>'Premissas'!$G$13</x:f>
        <x:v>1</x:v>
      </x:c>
      <x:c r="K379" s="57" t="n">
        <x:f>ROUND(MAX('Premissas'!$B$5,L379-N379),1)</x:f>
        <x:v>202.5</x:v>
      </x:c>
      <x:c r="L379" s="57" t="n">
        <x:f>ROUND(MAX('Premissas'!$B$5,MIN('Premissas'!$B$6,'Premissas'!$B$5+('Premissas'!$B$6-'Premissas'!$B$5)*(3*H379^2-2*H379^3)+I379*4*H379*(1-H379))),1)</x:f>
        <x:v>213.9</x:v>
      </x:c>
      <x:c r="M379" s="57" t="n">
        <x:f>ROUND(MIN('Premissas'!$B$6,L379+N379),1)</x:f>
        <x:v>225.3</x:v>
      </x:c>
      <x:c r="N379" s="57" t="n">
        <x:f>ROUND('Premissas'!$B$7*J379*SQRT(10/F379)*4*H379*(1-H379),1)</x:f>
        <x:v>11.4</x:v>
      </x:c>
      <x:c r="O379" s="56" t="str">
        <x:v>PROVISÓRIA</x:v>
      </x:c>
    </x:row>
    <x:row r="380">
      <x:c r="A380" s="66" t="str">
        <x:v>Escala comum 7º–9º</x:v>
      </x:c>
      <x:c r="B380" s="66" t="str">
        <x:v>9º ano</x:v>
      </x:c>
      <x:c r="C380" s="66" t="str">
        <x:v>MODELO_9_ANO</x:v>
      </x:c>
      <x:c r="D380" s="66" t="str">
        <x:v>LC</x:v>
      </x:c>
      <x:c r="E380" s="66" t="str">
        <x:v>Linguagens</x:v>
      </x:c>
      <x:c r="F380" s="66" t="n">
        <x:v>20</x:v>
      </x:c>
      <x:c r="G380" s="66" t="n">
        <x:v>2</x:v>
      </x:c>
      <x:c r="H380" s="67" t="n">
        <x:f>G380/F380</x:f>
        <x:v>0.1</x:v>
      </x:c>
      <x:c r="I380" s="68" t="n">
        <x:f>'Premissas'!$B$15</x:f>
        <x:v>50</x:v>
      </x:c>
      <x:c r="J380" s="68" t="n">
        <x:f>'Premissas'!$G$13</x:f>
        <x:v>1</x:v>
      </x:c>
      <x:c r="K380" s="69" t="n">
        <x:f>ROUND(MAX('Premissas'!$B$5,L380-N380),1)</x:f>
        <x:v>213.2</x:v>
      </x:c>
      <x:c r="L380" s="69" t="n">
        <x:f>ROUND(MAX('Premissas'!$B$5,MIN('Premissas'!$B$6,'Premissas'!$B$5+('Premissas'!$B$6-'Premissas'!$B$5)*(3*H380^2-2*H380^3)+I380*4*H380*(1-H380))),1)</x:f>
        <x:v>234.8</x:v>
      </x:c>
      <x:c r="M380" s="69" t="n">
        <x:f>ROUND(MIN('Premissas'!$B$6,L380+N380),1)</x:f>
        <x:v>256.4</x:v>
      </x:c>
      <x:c r="N380" s="69" t="n">
        <x:f>ROUND('Premissas'!$B$7*J380*SQRT(10/F380)*4*H380*(1-H380),1)</x:f>
        <x:v>21.6</x:v>
      </x:c>
      <x:c r="O380" s="66" t="str">
        <x:v>PROVISÓRIA</x:v>
      </x:c>
    </x:row>
    <x:row r="381">
      <x:c r="A381" s="56" t="str">
        <x:v>Escala comum 7º–9º</x:v>
      </x:c>
      <x:c r="B381" s="56" t="str">
        <x:v>9º ano</x:v>
      </x:c>
      <x:c r="C381" s="56" t="str">
        <x:v>MODELO_9_ANO</x:v>
      </x:c>
      <x:c r="D381" s="56" t="str">
        <x:v>LC</x:v>
      </x:c>
      <x:c r="E381" s="56" t="str">
        <x:v>Linguagens</x:v>
      </x:c>
      <x:c r="F381" s="56" t="n">
        <x:v>20</x:v>
      </x:c>
      <x:c r="G381" s="56" t="n">
        <x:v>3</x:v>
      </x:c>
      <x:c r="H381" s="70" t="n">
        <x:f>G381/F381</x:f>
        <x:v>0.15</x:v>
      </x:c>
      <x:c r="I381" s="59" t="n">
        <x:f>'Premissas'!$B$15</x:f>
        <x:v>50</x:v>
      </x:c>
      <x:c r="J381" s="59" t="n">
        <x:f>'Premissas'!$G$13</x:f>
        <x:v>1</x:v>
      </x:c>
      <x:c r="K381" s="57" t="n">
        <x:f>ROUND(MAX('Premissas'!$B$5,L381-N381),1)</x:f>
        <x:v>231.3</x:v>
      </x:c>
      <x:c r="L381" s="57" t="n">
        <x:f>ROUND(MAX('Premissas'!$B$5,MIN('Premissas'!$B$6,'Premissas'!$B$5+('Premissas'!$B$6-'Premissas'!$B$5)*(3*H381^2-2*H381^3)+I381*4*H381*(1-H381))),1)</x:f>
        <x:v>262</x:v>
      </x:c>
      <x:c r="M381" s="57" t="n">
        <x:f>ROUND(MIN('Premissas'!$B$6,L381+N381),1)</x:f>
        <x:v>292.7</x:v>
      </x:c>
      <x:c r="N381" s="57" t="n">
        <x:f>ROUND('Premissas'!$B$7*J381*SQRT(10/F381)*4*H381*(1-H381),1)</x:f>
        <x:v>30.7</x:v>
      </x:c>
      <x:c r="O381" s="56" t="str">
        <x:v>PROVISÓRIA</x:v>
      </x:c>
    </x:row>
    <x:row r="382">
      <x:c r="A382" s="66" t="str">
        <x:v>Escala comum 7º–9º</x:v>
      </x:c>
      <x:c r="B382" s="66" t="str">
        <x:v>9º ano</x:v>
      </x:c>
      <x:c r="C382" s="66" t="str">
        <x:v>MODELO_9_ANO</x:v>
      </x:c>
      <x:c r="D382" s="66" t="str">
        <x:v>LC</x:v>
      </x:c>
      <x:c r="E382" s="66" t="str">
        <x:v>Linguagens</x:v>
      </x:c>
      <x:c r="F382" s="66" t="n">
        <x:v>20</x:v>
      </x:c>
      <x:c r="G382" s="66" t="n">
        <x:v>4</x:v>
      </x:c>
      <x:c r="H382" s="67" t="n">
        <x:f>G382/F382</x:f>
        <x:v>0.2</x:v>
      </x:c>
      <x:c r="I382" s="68" t="n">
        <x:f>'Premissas'!$B$15</x:f>
        <x:v>50</x:v>
      </x:c>
      <x:c r="J382" s="68" t="n">
        <x:f>'Premissas'!$G$13</x:f>
        <x:v>1</x:v>
      </x:c>
      <x:c r="K382" s="69" t="n">
        <x:f>ROUND(MAX('Premissas'!$B$5,L382-N382),1)</x:f>
        <x:v>255.9</x:v>
      </x:c>
      <x:c r="L382" s="69" t="n">
        <x:f>ROUND(MAX('Premissas'!$B$5,MIN('Premissas'!$B$6,'Premissas'!$B$5+('Premissas'!$B$6-'Premissas'!$B$5)*(3*H382^2-2*H382^3)+I382*4*H382*(1-H382))),1)</x:f>
        <x:v>294.4</x:v>
      </x:c>
      <x:c r="M382" s="69" t="n">
        <x:f>ROUND(MIN('Premissas'!$B$6,L382+N382),1)</x:f>
        <x:v>332.9</x:v>
      </x:c>
      <x:c r="N382" s="69" t="n">
        <x:f>ROUND('Premissas'!$B$7*J382*SQRT(10/F382)*4*H382*(1-H382),1)</x:f>
        <x:v>38.5</x:v>
      </x:c>
      <x:c r="O382" s="66" t="str">
        <x:v>PROVISÓRIA</x:v>
      </x:c>
    </x:row>
    <x:row r="383">
      <x:c r="A383" s="56" t="str">
        <x:v>Escala comum 7º–9º</x:v>
      </x:c>
      <x:c r="B383" s="56" t="str">
        <x:v>9º ano</x:v>
      </x:c>
      <x:c r="C383" s="56" t="str">
        <x:v>MODELO_9_ANO</x:v>
      </x:c>
      <x:c r="D383" s="56" t="str">
        <x:v>LC</x:v>
      </x:c>
      <x:c r="E383" s="56" t="str">
        <x:v>Linguagens</x:v>
      </x:c>
      <x:c r="F383" s="56" t="n">
        <x:v>20</x:v>
      </x:c>
      <x:c r="G383" s="56" t="n">
        <x:v>5</x:v>
      </x:c>
      <x:c r="H383" s="70" t="n">
        <x:f>G383/F383</x:f>
        <x:v>0.25</x:v>
      </x:c>
      <x:c r="I383" s="59" t="n">
        <x:f>'Premissas'!$B$15</x:f>
        <x:v>50</x:v>
      </x:c>
      <x:c r="J383" s="59" t="n">
        <x:f>'Premissas'!$G$13</x:f>
        <x:v>1</x:v>
      </x:c>
      <x:c r="K383" s="57" t="n">
        <x:f>ROUND(MAX('Premissas'!$B$5,L383-N383),1)</x:f>
        <x:v>286.2</x:v>
      </x:c>
      <x:c r="L383" s="57" t="n">
        <x:f>ROUND(MAX('Premissas'!$B$5,MIN('Premissas'!$B$6,'Premissas'!$B$5+('Premissas'!$B$6-'Premissas'!$B$5)*(3*H383^2-2*H383^3)+I383*4*H383*(1-H383))),1)</x:f>
        <x:v>331.3</x:v>
      </x:c>
      <x:c r="M383" s="57" t="n">
        <x:f>ROUND(MIN('Premissas'!$B$6,L383+N383),1)</x:f>
        <x:v>376.4</x:v>
      </x:c>
      <x:c r="N383" s="57" t="n">
        <x:f>ROUND('Premissas'!$B$7*J383*SQRT(10/F383)*4*H383*(1-H383),1)</x:f>
        <x:v>45.1</x:v>
      </x:c>
      <x:c r="O383" s="56" t="str">
        <x:v>PROVISÓRIA</x:v>
      </x:c>
    </x:row>
    <x:row r="384">
      <x:c r="A384" s="66" t="str">
        <x:v>Escala comum 7º–9º</x:v>
      </x:c>
      <x:c r="B384" s="66" t="str">
        <x:v>9º ano</x:v>
      </x:c>
      <x:c r="C384" s="66" t="str">
        <x:v>MODELO_9_ANO</x:v>
      </x:c>
      <x:c r="D384" s="66" t="str">
        <x:v>LC</x:v>
      </x:c>
      <x:c r="E384" s="66" t="str">
        <x:v>Linguagens</x:v>
      </x:c>
      <x:c r="F384" s="66" t="n">
        <x:v>20</x:v>
      </x:c>
      <x:c r="G384" s="66" t="n">
        <x:v>6</x:v>
      </x:c>
      <x:c r="H384" s="67" t="n">
        <x:f>G384/F384</x:f>
        <x:v>0.3</x:v>
      </x:c>
      <x:c r="I384" s="68" t="n">
        <x:f>'Premissas'!$B$15</x:f>
        <x:v>50</x:v>
      </x:c>
      <x:c r="J384" s="68" t="n">
        <x:f>'Premissas'!$G$13</x:f>
        <x:v>1</x:v>
      </x:c>
      <x:c r="K384" s="69" t="n">
        <x:f>ROUND(MAX('Premissas'!$B$5,L384-N384),1)</x:f>
        <x:v>321.1</x:v>
      </x:c>
      <x:c r="L384" s="69" t="n">
        <x:f>ROUND(MAX('Premissas'!$B$5,MIN('Premissas'!$B$6,'Premissas'!$B$5+('Premissas'!$B$6-'Premissas'!$B$5)*(3*H384^2-2*H384^3)+I384*4*H384*(1-H384))),1)</x:f>
        <x:v>371.6</x:v>
      </x:c>
      <x:c r="M384" s="69" t="n">
        <x:f>ROUND(MIN('Premissas'!$B$6,L384+N384),1)</x:f>
        <x:v>422.1</x:v>
      </x:c>
      <x:c r="N384" s="69" t="n">
        <x:f>ROUND('Premissas'!$B$7*J384*SQRT(10/F384)*4*H384*(1-H384),1)</x:f>
        <x:v>50.5</x:v>
      </x:c>
      <x:c r="O384" s="66" t="str">
        <x:v>PROVISÓRIA</x:v>
      </x:c>
    </x:row>
    <x:row r="385">
      <x:c r="A385" s="56" t="str">
        <x:v>Escala comum 7º–9º</x:v>
      </x:c>
      <x:c r="B385" s="56" t="str">
        <x:v>9º ano</x:v>
      </x:c>
      <x:c r="C385" s="56" t="str">
        <x:v>MODELO_9_ANO</x:v>
      </x:c>
      <x:c r="D385" s="56" t="str">
        <x:v>LC</x:v>
      </x:c>
      <x:c r="E385" s="56" t="str">
        <x:v>Linguagens</x:v>
      </x:c>
      <x:c r="F385" s="56" t="n">
        <x:v>20</x:v>
      </x:c>
      <x:c r="G385" s="56" t="n">
        <x:v>7</x:v>
      </x:c>
      <x:c r="H385" s="70" t="n">
        <x:f>G385/F385</x:f>
        <x:v>0.35</x:v>
      </x:c>
      <x:c r="I385" s="59" t="n">
        <x:f>'Premissas'!$B$15</x:f>
        <x:v>50</x:v>
      </x:c>
      <x:c r="J385" s="59" t="n">
        <x:f>'Premissas'!$G$13</x:f>
        <x:v>1</x:v>
      </x:c>
      <x:c r="K385" s="57" t="n">
        <x:f>ROUND(MAX('Premissas'!$B$5,L385-N385),1)</x:f>
        <x:v>359.9</x:v>
      </x:c>
      <x:c r="L385" s="57" t="n">
        <x:f>ROUND(MAX('Premissas'!$B$5,MIN('Premissas'!$B$6,'Premissas'!$B$5+('Premissas'!$B$6-'Premissas'!$B$5)*(3*H385^2-2*H385^3)+I385*4*H385*(1-H385))),1)</x:f>
        <x:v>414.6</x:v>
      </x:c>
      <x:c r="M385" s="57" t="n">
        <x:f>ROUND(MIN('Premissas'!$B$6,L385+N385),1)</x:f>
        <x:v>469.3</x:v>
      </x:c>
      <x:c r="N385" s="57" t="n">
        <x:f>ROUND('Premissas'!$B$7*J385*SQRT(10/F385)*4*H385*(1-H385),1)</x:f>
        <x:v>54.7</x:v>
      </x:c>
      <x:c r="O385" s="56" t="str">
        <x:v>PROVISÓRIA</x:v>
      </x:c>
    </x:row>
    <x:row r="386">
      <x:c r="A386" s="66" t="str">
        <x:v>Escala comum 7º–9º</x:v>
      </x:c>
      <x:c r="B386" s="66" t="str">
        <x:v>9º ano</x:v>
      </x:c>
      <x:c r="C386" s="66" t="str">
        <x:v>MODELO_9_ANO</x:v>
      </x:c>
      <x:c r="D386" s="66" t="str">
        <x:v>LC</x:v>
      </x:c>
      <x:c r="E386" s="66" t="str">
        <x:v>Linguagens</x:v>
      </x:c>
      <x:c r="F386" s="66" t="n">
        <x:v>20</x:v>
      </x:c>
      <x:c r="G386" s="66" t="n">
        <x:v>8</x:v>
      </x:c>
      <x:c r="H386" s="67" t="n">
        <x:f>G386/F386</x:f>
        <x:v>0.4</x:v>
      </x:c>
      <x:c r="I386" s="68" t="n">
        <x:f>'Premissas'!$B$15</x:f>
        <x:v>50</x:v>
      </x:c>
      <x:c r="J386" s="68" t="n">
        <x:f>'Premissas'!$G$13</x:f>
        <x:v>1</x:v>
      </x:c>
      <x:c r="K386" s="69" t="n">
        <x:f>ROUND(MAX('Premissas'!$B$5,L386-N386),1)</x:f>
        <x:v>401.5</x:v>
      </x:c>
      <x:c r="L386" s="69" t="n">
        <x:f>ROUND(MAX('Premissas'!$B$5,MIN('Premissas'!$B$6,'Premissas'!$B$5+('Premissas'!$B$6-'Premissas'!$B$5)*(3*H386^2-2*H386^3)+I386*4*H386*(1-H386))),1)</x:f>
        <x:v>459.2</x:v>
      </x:c>
      <x:c r="M386" s="69" t="n">
        <x:f>ROUND(MIN('Premissas'!$B$6,L386+N386),1)</x:f>
        <x:v>516.9</x:v>
      </x:c>
      <x:c r="N386" s="69" t="n">
        <x:f>ROUND('Premissas'!$B$7*J386*SQRT(10/F386)*4*H386*(1-H386),1)</x:f>
        <x:v>57.7</x:v>
      </x:c>
      <x:c r="O386" s="66" t="str">
        <x:v>PROVISÓRIA</x:v>
      </x:c>
    </x:row>
    <x:row r="387">
      <x:c r="A387" s="56" t="str">
        <x:v>Escala comum 7º–9º</x:v>
      </x:c>
      <x:c r="B387" s="56" t="str">
        <x:v>9º ano</x:v>
      </x:c>
      <x:c r="C387" s="56" t="str">
        <x:v>MODELO_9_ANO</x:v>
      </x:c>
      <x:c r="D387" s="56" t="str">
        <x:v>LC</x:v>
      </x:c>
      <x:c r="E387" s="56" t="str">
        <x:v>Linguagens</x:v>
      </x:c>
      <x:c r="F387" s="56" t="n">
        <x:v>20</x:v>
      </x:c>
      <x:c r="G387" s="56" t="n">
        <x:v>9</x:v>
      </x:c>
      <x:c r="H387" s="70" t="n">
        <x:f>G387/F387</x:f>
        <x:v>0.45</x:v>
      </x:c>
      <x:c r="I387" s="59" t="n">
        <x:f>'Premissas'!$B$15</x:f>
        <x:v>50</x:v>
      </x:c>
      <x:c r="J387" s="59" t="n">
        <x:f>'Premissas'!$G$13</x:f>
        <x:v>1</x:v>
      </x:c>
      <x:c r="K387" s="57" t="n">
        <x:f>ROUND(MAX('Premissas'!$B$5,L387-N387),1)</x:f>
        <x:v>445.2</x:v>
      </x:c>
      <x:c r="L387" s="57" t="n">
        <x:f>ROUND(MAX('Premissas'!$B$5,MIN('Premissas'!$B$6,'Premissas'!$B$5+('Premissas'!$B$6-'Premissas'!$B$5)*(3*H387^2-2*H387^3)+I387*4*H387*(1-H387))),1)</x:f>
        <x:v>504.7</x:v>
      </x:c>
      <x:c r="M387" s="57" t="n">
        <x:f>ROUND(MIN('Premissas'!$B$6,L387+N387),1)</x:f>
        <x:v>564.2</x:v>
      </x:c>
      <x:c r="N387" s="57" t="n">
        <x:f>ROUND('Premissas'!$B$7*J387*SQRT(10/F387)*4*H387*(1-H387),1)</x:f>
        <x:v>59.5</x:v>
      </x:c>
      <x:c r="O387" s="56" t="str">
        <x:v>PROVISÓRIA</x:v>
      </x:c>
    </x:row>
    <x:row r="388">
      <x:c r="A388" s="66" t="str">
        <x:v>Escala comum 7º–9º</x:v>
      </x:c>
      <x:c r="B388" s="66" t="str">
        <x:v>9º ano</x:v>
      </x:c>
      <x:c r="C388" s="66" t="str">
        <x:v>MODELO_9_ANO</x:v>
      </x:c>
      <x:c r="D388" s="66" t="str">
        <x:v>LC</x:v>
      </x:c>
      <x:c r="E388" s="66" t="str">
        <x:v>Linguagens</x:v>
      </x:c>
      <x:c r="F388" s="66" t="n">
        <x:v>20</x:v>
      </x:c>
      <x:c r="G388" s="66" t="n">
        <x:v>10</x:v>
      </x:c>
      <x:c r="H388" s="67" t="n">
        <x:f>G388/F388</x:f>
        <x:v>0.5</x:v>
      </x:c>
      <x:c r="I388" s="68" t="n">
        <x:f>'Premissas'!$B$15</x:f>
        <x:v>50</x:v>
      </x:c>
      <x:c r="J388" s="68" t="n">
        <x:f>'Premissas'!$G$13</x:f>
        <x:v>1</x:v>
      </x:c>
      <x:c r="K388" s="69" t="n">
        <x:f>ROUND(MAX('Premissas'!$B$5,L388-N388),1)</x:f>
        <x:v>489.9</x:v>
      </x:c>
      <x:c r="L388" s="69" t="n">
        <x:f>ROUND(MAX('Premissas'!$B$5,MIN('Premissas'!$B$6,'Premissas'!$B$5+('Premissas'!$B$6-'Premissas'!$B$5)*(3*H388^2-2*H388^3)+I388*4*H388*(1-H388))),1)</x:f>
        <x:v>550</x:v>
      </x:c>
      <x:c r="M388" s="69" t="n">
        <x:f>ROUND(MIN('Premissas'!$B$6,L388+N388),1)</x:f>
        <x:v>610.1</x:v>
      </x:c>
      <x:c r="N388" s="69" t="n">
        <x:f>ROUND('Premissas'!$B$7*J388*SQRT(10/F388)*4*H388*(1-H388),1)</x:f>
        <x:v>60.1</x:v>
      </x:c>
      <x:c r="O388" s="66" t="str">
        <x:v>PROVISÓRIA</x:v>
      </x:c>
    </x:row>
    <x:row r="389">
      <x:c r="A389" s="56" t="str">
        <x:v>Escala comum 7º–9º</x:v>
      </x:c>
      <x:c r="B389" s="56" t="str">
        <x:v>9º ano</x:v>
      </x:c>
      <x:c r="C389" s="56" t="str">
        <x:v>MODELO_9_ANO</x:v>
      </x:c>
      <x:c r="D389" s="56" t="str">
        <x:v>LC</x:v>
      </x:c>
      <x:c r="E389" s="56" t="str">
        <x:v>Linguagens</x:v>
      </x:c>
      <x:c r="F389" s="56" t="n">
        <x:v>20</x:v>
      </x:c>
      <x:c r="G389" s="56" t="n">
        <x:v>11</x:v>
      </x:c>
      <x:c r="H389" s="70" t="n">
        <x:f>G389/F389</x:f>
        <x:v>0.55</x:v>
      </x:c>
      <x:c r="I389" s="59" t="n">
        <x:f>'Premissas'!$B$15</x:f>
        <x:v>50</x:v>
      </x:c>
      <x:c r="J389" s="59" t="n">
        <x:f>'Premissas'!$G$13</x:f>
        <x:v>1</x:v>
      </x:c>
      <x:c r="K389" s="57" t="n">
        <x:f>ROUND(MAX('Premissas'!$B$5,L389-N389),1)</x:f>
        <x:v>534.9</x:v>
      </x:c>
      <x:c r="L389" s="57" t="n">
        <x:f>ROUND(MAX('Premissas'!$B$5,MIN('Premissas'!$B$6,'Premissas'!$B$5+('Premissas'!$B$6-'Premissas'!$B$5)*(3*H389^2-2*H389^3)+I389*4*H389*(1-H389))),1)</x:f>
        <x:v>594.4</x:v>
      </x:c>
      <x:c r="M389" s="57" t="n">
        <x:f>ROUND(MIN('Premissas'!$B$6,L389+N389),1)</x:f>
        <x:v>653.9</x:v>
      </x:c>
      <x:c r="N389" s="57" t="n">
        <x:f>ROUND('Premissas'!$B$7*J389*SQRT(10/F389)*4*H389*(1-H389),1)</x:f>
        <x:v>59.5</x:v>
      </x:c>
      <x:c r="O389" s="56" t="str">
        <x:v>PROVISÓRIA</x:v>
      </x:c>
    </x:row>
    <x:row r="390">
      <x:c r="A390" s="66" t="str">
        <x:v>Escala comum 7º–9º</x:v>
      </x:c>
      <x:c r="B390" s="66" t="str">
        <x:v>9º ano</x:v>
      </x:c>
      <x:c r="C390" s="66" t="str">
        <x:v>MODELO_9_ANO</x:v>
      </x:c>
      <x:c r="D390" s="66" t="str">
        <x:v>LC</x:v>
      </x:c>
      <x:c r="E390" s="66" t="str">
        <x:v>Linguagens</x:v>
      </x:c>
      <x:c r="F390" s="66" t="n">
        <x:v>20</x:v>
      </x:c>
      <x:c r="G390" s="66" t="n">
        <x:v>12</x:v>
      </x:c>
      <x:c r="H390" s="67" t="n">
        <x:f>G390/F390</x:f>
        <x:v>0.6</x:v>
      </x:c>
      <x:c r="I390" s="68" t="n">
        <x:f>'Premissas'!$B$15</x:f>
        <x:v>50</x:v>
      </x:c>
      <x:c r="J390" s="68" t="n">
        <x:f>'Premissas'!$G$13</x:f>
        <x:v>1</x:v>
      </x:c>
      <x:c r="K390" s="69" t="n">
        <x:f>ROUND(MAX('Premissas'!$B$5,L390-N390),1)</x:f>
        <x:v>579.1</x:v>
      </x:c>
      <x:c r="L390" s="69" t="n">
        <x:f>ROUND(MAX('Premissas'!$B$5,MIN('Premissas'!$B$6,'Premissas'!$B$5+('Premissas'!$B$6-'Premissas'!$B$5)*(3*H390^2-2*H390^3)+I390*4*H390*(1-H390))),1)</x:f>
        <x:v>636.8</x:v>
      </x:c>
      <x:c r="M390" s="69" t="n">
        <x:f>ROUND(MIN('Premissas'!$B$6,L390+N390),1)</x:f>
        <x:v>694.5</x:v>
      </x:c>
      <x:c r="N390" s="69" t="n">
        <x:f>ROUND('Premissas'!$B$7*J390*SQRT(10/F390)*4*H390*(1-H390),1)</x:f>
        <x:v>57.7</x:v>
      </x:c>
      <x:c r="O390" s="66" t="str">
        <x:v>PROVISÓRIA</x:v>
      </x:c>
    </x:row>
    <x:row r="391">
      <x:c r="A391" s="56" t="str">
        <x:v>Escala comum 7º–9º</x:v>
      </x:c>
      <x:c r="B391" s="56" t="str">
        <x:v>9º ano</x:v>
      </x:c>
      <x:c r="C391" s="56" t="str">
        <x:v>MODELO_9_ANO</x:v>
      </x:c>
      <x:c r="D391" s="56" t="str">
        <x:v>LC</x:v>
      </x:c>
      <x:c r="E391" s="56" t="str">
        <x:v>Linguagens</x:v>
      </x:c>
      <x:c r="F391" s="56" t="n">
        <x:v>20</x:v>
      </x:c>
      <x:c r="G391" s="56" t="n">
        <x:v>13</x:v>
      </x:c>
      <x:c r="H391" s="70" t="n">
        <x:f>G391/F391</x:f>
        <x:v>0.65</x:v>
      </x:c>
      <x:c r="I391" s="59" t="n">
        <x:f>'Premissas'!$B$15</x:f>
        <x:v>50</x:v>
      </x:c>
      <x:c r="J391" s="59" t="n">
        <x:f>'Premissas'!$G$13</x:f>
        <x:v>1</x:v>
      </x:c>
      <x:c r="K391" s="57" t="n">
        <x:f>ROUND(MAX('Premissas'!$B$5,L391-N391),1)</x:f>
        <x:v>621.8</x:v>
      </x:c>
      <x:c r="L391" s="57" t="n">
        <x:f>ROUND(MAX('Premissas'!$B$5,MIN('Premissas'!$B$6,'Premissas'!$B$5+('Premissas'!$B$6-'Premissas'!$B$5)*(3*H391^2-2*H391^3)+I391*4*H391*(1-H391))),1)</x:f>
        <x:v>676.5</x:v>
      </x:c>
      <x:c r="M391" s="57" t="n">
        <x:f>ROUND(MIN('Premissas'!$B$6,L391+N391),1)</x:f>
        <x:v>731.2</x:v>
      </x:c>
      <x:c r="N391" s="57" t="n">
        <x:f>ROUND('Premissas'!$B$7*J391*SQRT(10/F391)*4*H391*(1-H391),1)</x:f>
        <x:v>54.7</x:v>
      </x:c>
      <x:c r="O391" s="56" t="str">
        <x:v>PROVISÓRIA</x:v>
      </x:c>
    </x:row>
    <x:row r="392">
      <x:c r="A392" s="66" t="str">
        <x:v>Escala comum 7º–9º</x:v>
      </x:c>
      <x:c r="B392" s="66" t="str">
        <x:v>9º ano</x:v>
      </x:c>
      <x:c r="C392" s="66" t="str">
        <x:v>MODELO_9_ANO</x:v>
      </x:c>
      <x:c r="D392" s="66" t="str">
        <x:v>LC</x:v>
      </x:c>
      <x:c r="E392" s="66" t="str">
        <x:v>Linguagens</x:v>
      </x:c>
      <x:c r="F392" s="66" t="n">
        <x:v>20</x:v>
      </x:c>
      <x:c r="G392" s="66" t="n">
        <x:v>14</x:v>
      </x:c>
      <x:c r="H392" s="67" t="n">
        <x:f>G392/F392</x:f>
        <x:v>0.7</x:v>
      </x:c>
      <x:c r="I392" s="68" t="n">
        <x:f>'Premissas'!$B$15</x:f>
        <x:v>50</x:v>
      </x:c>
      <x:c r="J392" s="68" t="n">
        <x:f>'Premissas'!$G$13</x:f>
        <x:v>1</x:v>
      </x:c>
      <x:c r="K392" s="69" t="n">
        <x:f>ROUND(MAX('Premissas'!$B$5,L392-N392),1)</x:f>
        <x:v>661.9</x:v>
      </x:c>
      <x:c r="L392" s="69" t="n">
        <x:f>ROUND(MAX('Premissas'!$B$5,MIN('Premissas'!$B$6,'Premissas'!$B$5+('Premissas'!$B$6-'Premissas'!$B$5)*(3*H392^2-2*H392^3)+I392*4*H392*(1-H392))),1)</x:f>
        <x:v>712.4</x:v>
      </x:c>
      <x:c r="M392" s="69" t="n">
        <x:f>ROUND(MIN('Premissas'!$B$6,L392+N392),1)</x:f>
        <x:v>762.9</x:v>
      </x:c>
      <x:c r="N392" s="69" t="n">
        <x:f>ROUND('Premissas'!$B$7*J392*SQRT(10/F392)*4*H392*(1-H392),1)</x:f>
        <x:v>50.5</x:v>
      </x:c>
      <x:c r="O392" s="66" t="str">
        <x:v>PROVISÓRIA</x:v>
      </x:c>
    </x:row>
    <x:row r="393">
      <x:c r="A393" s="56" t="str">
        <x:v>Escala comum 7º–9º</x:v>
      </x:c>
      <x:c r="B393" s="56" t="str">
        <x:v>9º ano</x:v>
      </x:c>
      <x:c r="C393" s="56" t="str">
        <x:v>MODELO_9_ANO</x:v>
      </x:c>
      <x:c r="D393" s="56" t="str">
        <x:v>LC</x:v>
      </x:c>
      <x:c r="E393" s="56" t="str">
        <x:v>Linguagens</x:v>
      </x:c>
      <x:c r="F393" s="56" t="n">
        <x:v>20</x:v>
      </x:c>
      <x:c r="G393" s="56" t="n">
        <x:v>15</x:v>
      </x:c>
      <x:c r="H393" s="70" t="n">
        <x:f>G393/F393</x:f>
        <x:v>0.75</x:v>
      </x:c>
      <x:c r="I393" s="59" t="n">
        <x:f>'Premissas'!$B$15</x:f>
        <x:v>50</x:v>
      </x:c>
      <x:c r="J393" s="59" t="n">
        <x:f>'Premissas'!$G$13</x:f>
        <x:v>1</x:v>
      </x:c>
      <x:c r="K393" s="57" t="n">
        <x:f>ROUND(MAX('Premissas'!$B$5,L393-N393),1)</x:f>
        <x:v>698.7</x:v>
      </x:c>
      <x:c r="L393" s="57" t="n">
        <x:f>ROUND(MAX('Premissas'!$B$5,MIN('Premissas'!$B$6,'Premissas'!$B$5+('Premissas'!$B$6-'Premissas'!$B$5)*(3*H393^2-2*H393^3)+I393*4*H393*(1-H393))),1)</x:f>
        <x:v>743.8</x:v>
      </x:c>
      <x:c r="M393" s="57" t="n">
        <x:f>ROUND(MIN('Premissas'!$B$6,L393+N393),1)</x:f>
        <x:v>788.9</x:v>
      </x:c>
      <x:c r="N393" s="57" t="n">
        <x:f>ROUND('Premissas'!$B$7*J393*SQRT(10/F393)*4*H393*(1-H393),1)</x:f>
        <x:v>45.1</x:v>
      </x:c>
      <x:c r="O393" s="56" t="str">
        <x:v>PROVISÓRIA</x:v>
      </x:c>
    </x:row>
    <x:row r="394">
      <x:c r="A394" s="66" t="str">
        <x:v>Escala comum 7º–9º</x:v>
      </x:c>
      <x:c r="B394" s="66" t="str">
        <x:v>9º ano</x:v>
      </x:c>
      <x:c r="C394" s="66" t="str">
        <x:v>MODELO_9_ANO</x:v>
      </x:c>
      <x:c r="D394" s="66" t="str">
        <x:v>LC</x:v>
      </x:c>
      <x:c r="E394" s="66" t="str">
        <x:v>Linguagens</x:v>
      </x:c>
      <x:c r="F394" s="66" t="n">
        <x:v>20</x:v>
      </x:c>
      <x:c r="G394" s="66" t="n">
        <x:v>16</x:v>
      </x:c>
      <x:c r="H394" s="67" t="n">
        <x:f>G394/F394</x:f>
        <x:v>0.8</x:v>
      </x:c>
      <x:c r="I394" s="68" t="n">
        <x:f>'Premissas'!$B$15</x:f>
        <x:v>50</x:v>
      </x:c>
      <x:c r="J394" s="68" t="n">
        <x:f>'Premissas'!$G$13</x:f>
        <x:v>1</x:v>
      </x:c>
      <x:c r="K394" s="69" t="n">
        <x:f>ROUND(MAX('Premissas'!$B$5,L394-N394),1)</x:f>
        <x:v>731.1</x:v>
      </x:c>
      <x:c r="L394" s="69" t="n">
        <x:f>ROUND(MAX('Premissas'!$B$5,MIN('Premissas'!$B$6,'Premissas'!$B$5+('Premissas'!$B$6-'Premissas'!$B$5)*(3*H394^2-2*H394^3)+I394*4*H394*(1-H394))),1)</x:f>
        <x:v>769.6</x:v>
      </x:c>
      <x:c r="M394" s="69" t="n">
        <x:f>ROUND(MIN('Premissas'!$B$6,L394+N394),1)</x:f>
        <x:v>800</x:v>
      </x:c>
      <x:c r="N394" s="69" t="n">
        <x:f>ROUND('Premissas'!$B$7*J394*SQRT(10/F394)*4*H394*(1-H394),1)</x:f>
        <x:v>38.5</x:v>
      </x:c>
      <x:c r="O394" s="66" t="str">
        <x:v>PROVISÓRIA</x:v>
      </x:c>
    </x:row>
    <x:row r="395">
      <x:c r="A395" s="56" t="str">
        <x:v>Escala comum 7º–9º</x:v>
      </x:c>
      <x:c r="B395" s="56" t="str">
        <x:v>9º ano</x:v>
      </x:c>
      <x:c r="C395" s="56" t="str">
        <x:v>MODELO_9_ANO</x:v>
      </x:c>
      <x:c r="D395" s="56" t="str">
        <x:v>LC</x:v>
      </x:c>
      <x:c r="E395" s="56" t="str">
        <x:v>Linguagens</x:v>
      </x:c>
      <x:c r="F395" s="56" t="n">
        <x:v>20</x:v>
      </x:c>
      <x:c r="G395" s="56" t="n">
        <x:v>17</x:v>
      </x:c>
      <x:c r="H395" s="70" t="n">
        <x:f>G395/F395</x:f>
        <x:v>0.85</x:v>
      </x:c>
      <x:c r="I395" s="59" t="n">
        <x:f>'Premissas'!$B$15</x:f>
        <x:v>50</x:v>
      </x:c>
      <x:c r="J395" s="59" t="n">
        <x:f>'Premissas'!$G$13</x:f>
        <x:v>1</x:v>
      </x:c>
      <x:c r="K395" s="57" t="n">
        <x:f>ROUND(MAX('Premissas'!$B$5,L395-N395),1)</x:f>
        <x:v>758.3</x:v>
      </x:c>
      <x:c r="L395" s="57" t="n">
        <x:f>ROUND(MAX('Premissas'!$B$5,MIN('Premissas'!$B$6,'Premissas'!$B$5+('Premissas'!$B$6-'Premissas'!$B$5)*(3*H395^2-2*H395^3)+I395*4*H395*(1-H395))),1)</x:f>
        <x:v>789</x:v>
      </x:c>
      <x:c r="M395" s="57" t="n">
        <x:f>ROUND(MIN('Premissas'!$B$6,L395+N395),1)</x:f>
        <x:v>800</x:v>
      </x:c>
      <x:c r="N395" s="57" t="n">
        <x:f>ROUND('Premissas'!$B$7*J395*SQRT(10/F395)*4*H395*(1-H395),1)</x:f>
        <x:v>30.7</x:v>
      </x:c>
      <x:c r="O395" s="56" t="str">
        <x:v>PROVISÓRIA</x:v>
      </x:c>
    </x:row>
    <x:row r="396">
      <x:c r="A396" s="66" t="str">
        <x:v>Escala comum 7º–9º</x:v>
      </x:c>
      <x:c r="B396" s="66" t="str">
        <x:v>9º ano</x:v>
      </x:c>
      <x:c r="C396" s="66" t="str">
        <x:v>MODELO_9_ANO</x:v>
      </x:c>
      <x:c r="D396" s="66" t="str">
        <x:v>LC</x:v>
      </x:c>
      <x:c r="E396" s="66" t="str">
        <x:v>Linguagens</x:v>
      </x:c>
      <x:c r="F396" s="66" t="n">
        <x:v>20</x:v>
      </x:c>
      <x:c r="G396" s="66" t="n">
        <x:v>18</x:v>
      </x:c>
      <x:c r="H396" s="67" t="n">
        <x:f>G396/F396</x:f>
        <x:v>0.9</x:v>
      </x:c>
      <x:c r="I396" s="68" t="n">
        <x:f>'Premissas'!$B$15</x:f>
        <x:v>50</x:v>
      </x:c>
      <x:c r="J396" s="68" t="n">
        <x:f>'Premissas'!$G$13</x:f>
        <x:v>1</x:v>
      </x:c>
      <x:c r="K396" s="69" t="n">
        <x:f>ROUND(MAX('Premissas'!$B$5,L396-N396),1)</x:f>
        <x:v>778.4</x:v>
      </x:c>
      <x:c r="L396" s="69" t="n">
        <x:f>ROUND(MAX('Premissas'!$B$5,MIN('Premissas'!$B$6,'Premissas'!$B$5+('Premissas'!$B$6-'Premissas'!$B$5)*(3*H396^2-2*H396^3)+I396*4*H396*(1-H396))),1)</x:f>
        <x:v>800</x:v>
      </x:c>
      <x:c r="M396" s="69" t="n">
        <x:f>ROUND(MIN('Premissas'!$B$6,L396+N396),1)</x:f>
        <x:v>800</x:v>
      </x:c>
      <x:c r="N396" s="69" t="n">
        <x:f>ROUND('Premissas'!$B$7*J396*SQRT(10/F396)*4*H396*(1-H396),1)</x:f>
        <x:v>21.6</x:v>
      </x:c>
      <x:c r="O396" s="66" t="str">
        <x:v>PROVISÓRIA</x:v>
      </x:c>
    </x:row>
    <x:row r="397">
      <x:c r="A397" s="56" t="str">
        <x:v>Escala comum 7º–9º</x:v>
      </x:c>
      <x:c r="B397" s="56" t="str">
        <x:v>9º ano</x:v>
      </x:c>
      <x:c r="C397" s="56" t="str">
        <x:v>MODELO_9_ANO</x:v>
      </x:c>
      <x:c r="D397" s="56" t="str">
        <x:v>LC</x:v>
      </x:c>
      <x:c r="E397" s="56" t="str">
        <x:v>Linguagens</x:v>
      </x:c>
      <x:c r="F397" s="56" t="n">
        <x:v>20</x:v>
      </x:c>
      <x:c r="G397" s="56" t="n">
        <x:v>19</x:v>
      </x:c>
      <x:c r="H397" s="70" t="n">
        <x:f>G397/F397</x:f>
        <x:v>0.95</x:v>
      </x:c>
      <x:c r="I397" s="59" t="n">
        <x:f>'Premissas'!$B$15</x:f>
        <x:v>50</x:v>
      </x:c>
      <x:c r="J397" s="59" t="n">
        <x:f>'Premissas'!$G$13</x:f>
        <x:v>1</x:v>
      </x:c>
      <x:c r="K397" s="57" t="n">
        <x:f>ROUND(MAX('Premissas'!$B$5,L397-N397),1)</x:f>
        <x:v>788.6</x:v>
      </x:c>
      <x:c r="L397" s="57" t="n">
        <x:f>ROUND(MAX('Premissas'!$B$5,MIN('Premissas'!$B$6,'Premissas'!$B$5+('Premissas'!$B$6-'Premissas'!$B$5)*(3*H397^2-2*H397^3)+I397*4*H397*(1-H397))),1)</x:f>
        <x:v>800</x:v>
      </x:c>
      <x:c r="M397" s="57" t="n">
        <x:f>ROUND(MIN('Premissas'!$B$6,L397+N397),1)</x:f>
        <x:v>800</x:v>
      </x:c>
      <x:c r="N397" s="57" t="n">
        <x:f>ROUND('Premissas'!$B$7*J397*SQRT(10/F397)*4*H397*(1-H397),1)</x:f>
        <x:v>11.4</x:v>
      </x:c>
      <x:c r="O397" s="56" t="str">
        <x:v>PROVISÓRIA</x:v>
      </x:c>
    </x:row>
    <x:row r="398">
      <x:c r="A398" s="66" t="str">
        <x:v>Escala comum 7º–9º</x:v>
      </x:c>
      <x:c r="B398" s="66" t="str">
        <x:v>9º ano</x:v>
      </x:c>
      <x:c r="C398" s="66" t="str">
        <x:v>MODELO_9_ANO</x:v>
      </x:c>
      <x:c r="D398" s="66" t="str">
        <x:v>LC</x:v>
      </x:c>
      <x:c r="E398" s="66" t="str">
        <x:v>Linguagens</x:v>
      </x:c>
      <x:c r="F398" s="66" t="n">
        <x:v>20</x:v>
      </x:c>
      <x:c r="G398" s="66" t="n">
        <x:v>20</x:v>
      </x:c>
      <x:c r="H398" s="67" t="n">
        <x:f>G398/F398</x:f>
        <x:v>1</x:v>
      </x:c>
      <x:c r="I398" s="68" t="n">
        <x:f>'Premissas'!$B$15</x:f>
        <x:v>50</x:v>
      </x:c>
      <x:c r="J398" s="68" t="n">
        <x:f>'Premissas'!$G$13</x:f>
        <x:v>1</x:v>
      </x:c>
      <x:c r="K398" s="69" t="n">
        <x:f>ROUND(MAX('Premissas'!$B$5,L398-N398),1)</x:f>
        <x:v>800</x:v>
      </x:c>
      <x:c r="L398" s="69" t="n">
        <x:f>ROUND(MAX('Premissas'!$B$5,MIN('Premissas'!$B$6,'Premissas'!$B$5+('Premissas'!$B$6-'Premissas'!$B$5)*(3*H398^2-2*H398^3)+I398*4*H398*(1-H398))),1)</x:f>
        <x:v>800</x:v>
      </x:c>
      <x:c r="M398" s="69" t="n">
        <x:f>ROUND(MIN('Premissas'!$B$6,L398+N398),1)</x:f>
        <x:v>800</x:v>
      </x:c>
      <x:c r="N398" s="69" t="n">
        <x:f>ROUND('Premissas'!$B$7*J398*SQRT(10/F398)*4*H398*(1-H398),1)</x:f>
        <x:v>0</x:v>
      </x:c>
      <x:c r="O398" s="66" t="str">
        <x:v>PROVISÓRIA</x:v>
      </x:c>
    </x:row>
    <x:row r="399">
      <x:c r="A399" s="56" t="str">
        <x:v>Escala comum 7º–9º</x:v>
      </x:c>
      <x:c r="B399" s="56" t="str">
        <x:v>9º ano</x:v>
      </x:c>
      <x:c r="C399" s="56" t="str">
        <x:v>MODELO_9_ANO</x:v>
      </x:c>
      <x:c r="D399" s="56" t="str">
        <x:v>MT</x:v>
      </x:c>
      <x:c r="E399" s="56" t="str">
        <x:v>Matemática</x:v>
      </x:c>
      <x:c r="F399" s="56" t="n">
        <x:v>10</x:v>
      </x:c>
      <x:c r="G399" s="56" t="n">
        <x:v>0</x:v>
      </x:c>
      <x:c r="H399" s="70" t="n">
        <x:f>G399/F399</x:f>
        <x:v>0</x:v>
      </x:c>
      <x:c r="I399" s="59" t="n">
        <x:f>'Premissas'!$B$15</x:f>
        <x:v>50</x:v>
      </x:c>
      <x:c r="J399" s="59" t="n">
        <x:f>'Premissas'!$G$14</x:f>
        <x:v>1</x:v>
      </x:c>
      <x:c r="K399" s="57" t="n">
        <x:f>ROUND(MAX('Premissas'!$B$5,L399-N399),1)</x:f>
        <x:v>200</x:v>
      </x:c>
      <x:c r="L399" s="57" t="n">
        <x:f>ROUND(MAX('Premissas'!$B$5,MIN('Premissas'!$B$6,'Premissas'!$B$5+('Premissas'!$B$6-'Premissas'!$B$5)*(3*H399^2-2*H399^3)+I399*4*H399*(1-H399))),1)</x:f>
        <x:v>200</x:v>
      </x:c>
      <x:c r="M399" s="57" t="n">
        <x:f>ROUND(MIN('Premissas'!$B$6,L399+N399),1)</x:f>
        <x:v>200</x:v>
      </x:c>
      <x:c r="N399" s="57" t="n">
        <x:f>ROUND('Premissas'!$B$7*J399*SQRT(10/F399)*4*H399*(1-H399),1)</x:f>
        <x:v>0</x:v>
      </x:c>
      <x:c r="O399" s="56" t="str">
        <x:v>PROVISÓRIA</x:v>
      </x:c>
    </x:row>
    <x:row r="400">
      <x:c r="A400" s="66" t="str">
        <x:v>Escala comum 7º–9º</x:v>
      </x:c>
      <x:c r="B400" s="66" t="str">
        <x:v>9º ano</x:v>
      </x:c>
      <x:c r="C400" s="66" t="str">
        <x:v>MODELO_9_ANO</x:v>
      </x:c>
      <x:c r="D400" s="66" t="str">
        <x:v>MT</x:v>
      </x:c>
      <x:c r="E400" s="66" t="str">
        <x:v>Matemática</x:v>
      </x:c>
      <x:c r="F400" s="66" t="n">
        <x:v>10</x:v>
      </x:c>
      <x:c r="G400" s="66" t="n">
        <x:v>1</x:v>
      </x:c>
      <x:c r="H400" s="67" t="n">
        <x:f>G400/F400</x:f>
        <x:v>0.1</x:v>
      </x:c>
      <x:c r="I400" s="68" t="n">
        <x:f>'Premissas'!$B$15</x:f>
        <x:v>50</x:v>
      </x:c>
      <x:c r="J400" s="68" t="n">
        <x:f>'Premissas'!$G$14</x:f>
        <x:v>1</x:v>
      </x:c>
      <x:c r="K400" s="69" t="n">
        <x:f>ROUND(MAX('Premissas'!$B$5,L400-N400),1)</x:f>
        <x:v>204.2</x:v>
      </x:c>
      <x:c r="L400" s="69" t="n">
        <x:f>ROUND(MAX('Premissas'!$B$5,MIN('Premissas'!$B$6,'Premissas'!$B$5+('Premissas'!$B$6-'Premissas'!$B$5)*(3*H400^2-2*H400^3)+I400*4*H400*(1-H400))),1)</x:f>
        <x:v>234.8</x:v>
      </x:c>
      <x:c r="M400" s="69" t="n">
        <x:f>ROUND(MIN('Premissas'!$B$6,L400+N400),1)</x:f>
        <x:v>265.4</x:v>
      </x:c>
      <x:c r="N400" s="69" t="n">
        <x:f>ROUND('Premissas'!$B$7*J400*SQRT(10/F400)*4*H400*(1-H400),1)</x:f>
        <x:v>30.6</x:v>
      </x:c>
      <x:c r="O400" s="66" t="str">
        <x:v>PROVISÓRIA</x:v>
      </x:c>
    </x:row>
    <x:row r="401">
      <x:c r="A401" s="56" t="str">
        <x:v>Escala comum 7º–9º</x:v>
      </x:c>
      <x:c r="B401" s="56" t="str">
        <x:v>9º ano</x:v>
      </x:c>
      <x:c r="C401" s="56" t="str">
        <x:v>MODELO_9_ANO</x:v>
      </x:c>
      <x:c r="D401" s="56" t="str">
        <x:v>MT</x:v>
      </x:c>
      <x:c r="E401" s="56" t="str">
        <x:v>Matemática</x:v>
      </x:c>
      <x:c r="F401" s="56" t="n">
        <x:v>10</x:v>
      </x:c>
      <x:c r="G401" s="56" t="n">
        <x:v>2</x:v>
      </x:c>
      <x:c r="H401" s="70" t="n">
        <x:f>G401/F401</x:f>
        <x:v>0.2</x:v>
      </x:c>
      <x:c r="I401" s="59" t="n">
        <x:f>'Premissas'!$B$15</x:f>
        <x:v>50</x:v>
      </x:c>
      <x:c r="J401" s="59" t="n">
        <x:f>'Premissas'!$G$14</x:f>
        <x:v>1</x:v>
      </x:c>
      <x:c r="K401" s="57" t="n">
        <x:f>ROUND(MAX('Premissas'!$B$5,L401-N401),1)</x:f>
        <x:v>240</x:v>
      </x:c>
      <x:c r="L401" s="57" t="n">
        <x:f>ROUND(MAX('Premissas'!$B$5,MIN('Premissas'!$B$6,'Premissas'!$B$5+('Premissas'!$B$6-'Premissas'!$B$5)*(3*H401^2-2*H401^3)+I401*4*H401*(1-H401))),1)</x:f>
        <x:v>294.4</x:v>
      </x:c>
      <x:c r="M401" s="57" t="n">
        <x:f>ROUND(MIN('Premissas'!$B$6,L401+N401),1)</x:f>
        <x:v>348.8</x:v>
      </x:c>
      <x:c r="N401" s="57" t="n">
        <x:f>ROUND('Premissas'!$B$7*J401*SQRT(10/F401)*4*H401*(1-H401),1)</x:f>
        <x:v>54.4</x:v>
      </x:c>
      <x:c r="O401" s="56" t="str">
        <x:v>PROVISÓRIA</x:v>
      </x:c>
    </x:row>
    <x:row r="402">
      <x:c r="A402" s="66" t="str">
        <x:v>Escala comum 7º–9º</x:v>
      </x:c>
      <x:c r="B402" s="66" t="str">
        <x:v>9º ano</x:v>
      </x:c>
      <x:c r="C402" s="66" t="str">
        <x:v>MODELO_9_ANO</x:v>
      </x:c>
      <x:c r="D402" s="66" t="str">
        <x:v>MT</x:v>
      </x:c>
      <x:c r="E402" s="66" t="str">
        <x:v>Matemática</x:v>
      </x:c>
      <x:c r="F402" s="66" t="n">
        <x:v>10</x:v>
      </x:c>
      <x:c r="G402" s="66" t="n">
        <x:v>3</x:v>
      </x:c>
      <x:c r="H402" s="67" t="n">
        <x:f>G402/F402</x:f>
        <x:v>0.3</x:v>
      </x:c>
      <x:c r="I402" s="68" t="n">
        <x:f>'Premissas'!$B$15</x:f>
        <x:v>50</x:v>
      </x:c>
      <x:c r="J402" s="68" t="n">
        <x:f>'Premissas'!$G$14</x:f>
        <x:v>1</x:v>
      </x:c>
      <x:c r="K402" s="69" t="n">
        <x:f>ROUND(MAX('Premissas'!$B$5,L402-N402),1)</x:f>
        <x:v>300.2</x:v>
      </x:c>
      <x:c r="L402" s="69" t="n">
        <x:f>ROUND(MAX('Premissas'!$B$5,MIN('Premissas'!$B$6,'Premissas'!$B$5+('Premissas'!$B$6-'Premissas'!$B$5)*(3*H402^2-2*H402^3)+I402*4*H402*(1-H402))),1)</x:f>
        <x:v>371.6</x:v>
      </x:c>
      <x:c r="M402" s="69" t="n">
        <x:f>ROUND(MIN('Premissas'!$B$6,L402+N402),1)</x:f>
        <x:v>443</x:v>
      </x:c>
      <x:c r="N402" s="69" t="n">
        <x:f>ROUND('Premissas'!$B$7*J402*SQRT(10/F402)*4*H402*(1-H402),1)</x:f>
        <x:v>71.4</x:v>
      </x:c>
      <x:c r="O402" s="66" t="str">
        <x:v>PROVISÓRIA</x:v>
      </x:c>
    </x:row>
    <x:row r="403">
      <x:c r="A403" s="56" t="str">
        <x:v>Escala comum 7º–9º</x:v>
      </x:c>
      <x:c r="B403" s="56" t="str">
        <x:v>9º ano</x:v>
      </x:c>
      <x:c r="C403" s="56" t="str">
        <x:v>MODELO_9_ANO</x:v>
      </x:c>
      <x:c r="D403" s="56" t="str">
        <x:v>MT</x:v>
      </x:c>
      <x:c r="E403" s="56" t="str">
        <x:v>Matemática</x:v>
      </x:c>
      <x:c r="F403" s="56" t="n">
        <x:v>10</x:v>
      </x:c>
      <x:c r="G403" s="56" t="n">
        <x:v>4</x:v>
      </x:c>
      <x:c r="H403" s="70" t="n">
        <x:f>G403/F403</x:f>
        <x:v>0.4</x:v>
      </x:c>
      <x:c r="I403" s="59" t="n">
        <x:f>'Premissas'!$B$15</x:f>
        <x:v>50</x:v>
      </x:c>
      <x:c r="J403" s="59" t="n">
        <x:f>'Premissas'!$G$14</x:f>
        <x:v>1</x:v>
      </x:c>
      <x:c r="K403" s="57" t="n">
        <x:f>ROUND(MAX('Premissas'!$B$5,L403-N403),1)</x:f>
        <x:v>377.6</x:v>
      </x:c>
      <x:c r="L403" s="57" t="n">
        <x:f>ROUND(MAX('Premissas'!$B$5,MIN('Premissas'!$B$6,'Premissas'!$B$5+('Premissas'!$B$6-'Premissas'!$B$5)*(3*H403^2-2*H403^3)+I403*4*H403*(1-H403))),1)</x:f>
        <x:v>459.2</x:v>
      </x:c>
      <x:c r="M403" s="57" t="n">
        <x:f>ROUND(MIN('Premissas'!$B$6,L403+N403),1)</x:f>
        <x:v>540.8</x:v>
      </x:c>
      <x:c r="N403" s="57" t="n">
        <x:f>ROUND('Premissas'!$B$7*J403*SQRT(10/F403)*4*H403*(1-H403),1)</x:f>
        <x:v>81.6</x:v>
      </x:c>
      <x:c r="O403" s="56" t="str">
        <x:v>PROVISÓRIA</x:v>
      </x:c>
    </x:row>
    <x:row r="404">
      <x:c r="A404" s="66" t="str">
        <x:v>Escala comum 7º–9º</x:v>
      </x:c>
      <x:c r="B404" s="66" t="str">
        <x:v>9º ano</x:v>
      </x:c>
      <x:c r="C404" s="66" t="str">
        <x:v>MODELO_9_ANO</x:v>
      </x:c>
      <x:c r="D404" s="66" t="str">
        <x:v>MT</x:v>
      </x:c>
      <x:c r="E404" s="66" t="str">
        <x:v>Matemática</x:v>
      </x:c>
      <x:c r="F404" s="66" t="n">
        <x:v>10</x:v>
      </x:c>
      <x:c r="G404" s="66" t="n">
        <x:v>5</x:v>
      </x:c>
      <x:c r="H404" s="67" t="n">
        <x:f>G404/F404</x:f>
        <x:v>0.5</x:v>
      </x:c>
      <x:c r="I404" s="68" t="n">
        <x:f>'Premissas'!$B$15</x:f>
        <x:v>50</x:v>
      </x:c>
      <x:c r="J404" s="68" t="n">
        <x:f>'Premissas'!$G$14</x:f>
        <x:v>1</x:v>
      </x:c>
      <x:c r="K404" s="69" t="n">
        <x:f>ROUND(MAX('Premissas'!$B$5,L404-N404),1)</x:f>
        <x:v>465</x:v>
      </x:c>
      <x:c r="L404" s="69" t="n">
        <x:f>ROUND(MAX('Premissas'!$B$5,MIN('Premissas'!$B$6,'Premissas'!$B$5+('Premissas'!$B$6-'Premissas'!$B$5)*(3*H404^2-2*H404^3)+I404*4*H404*(1-H404))),1)</x:f>
        <x:v>550</x:v>
      </x:c>
      <x:c r="M404" s="69" t="n">
        <x:f>ROUND(MIN('Premissas'!$B$6,L404+N404),1)</x:f>
        <x:v>635</x:v>
      </x:c>
      <x:c r="N404" s="69" t="n">
        <x:f>ROUND('Premissas'!$B$7*J404*SQRT(10/F404)*4*H404*(1-H404),1)</x:f>
        <x:v>85</x:v>
      </x:c>
      <x:c r="O404" s="66" t="str">
        <x:v>PROVISÓRIA</x:v>
      </x:c>
    </x:row>
    <x:row r="405">
      <x:c r="A405" s="56" t="str">
        <x:v>Escala comum 7º–9º</x:v>
      </x:c>
      <x:c r="B405" s="56" t="str">
        <x:v>9º ano</x:v>
      </x:c>
      <x:c r="C405" s="56" t="str">
        <x:v>MODELO_9_ANO</x:v>
      </x:c>
      <x:c r="D405" s="56" t="str">
        <x:v>MT</x:v>
      </x:c>
      <x:c r="E405" s="56" t="str">
        <x:v>Matemática</x:v>
      </x:c>
      <x:c r="F405" s="56" t="n">
        <x:v>10</x:v>
      </x:c>
      <x:c r="G405" s="56" t="n">
        <x:v>6</x:v>
      </x:c>
      <x:c r="H405" s="70" t="n">
        <x:f>G405/F405</x:f>
        <x:v>0.6</x:v>
      </x:c>
      <x:c r="I405" s="59" t="n">
        <x:f>'Premissas'!$B$15</x:f>
        <x:v>50</x:v>
      </x:c>
      <x:c r="J405" s="59" t="n">
        <x:f>'Premissas'!$G$14</x:f>
        <x:v>1</x:v>
      </x:c>
      <x:c r="K405" s="57" t="n">
        <x:f>ROUND(MAX('Premissas'!$B$5,L405-N405),1)</x:f>
        <x:v>555.2</x:v>
      </x:c>
      <x:c r="L405" s="57" t="n">
        <x:f>ROUND(MAX('Premissas'!$B$5,MIN('Premissas'!$B$6,'Premissas'!$B$5+('Premissas'!$B$6-'Premissas'!$B$5)*(3*H405^2-2*H405^3)+I405*4*H405*(1-H405))),1)</x:f>
        <x:v>636.8</x:v>
      </x:c>
      <x:c r="M405" s="57" t="n">
        <x:f>ROUND(MIN('Premissas'!$B$6,L405+N405),1)</x:f>
        <x:v>718.4</x:v>
      </x:c>
      <x:c r="N405" s="57" t="n">
        <x:f>ROUND('Premissas'!$B$7*J405*SQRT(10/F405)*4*H405*(1-H405),1)</x:f>
        <x:v>81.6</x:v>
      </x:c>
      <x:c r="O405" s="56" t="str">
        <x:v>PROVISÓRIA</x:v>
      </x:c>
    </x:row>
    <x:row r="406">
      <x:c r="A406" s="66" t="str">
        <x:v>Escala comum 7º–9º</x:v>
      </x:c>
      <x:c r="B406" s="66" t="str">
        <x:v>9º ano</x:v>
      </x:c>
      <x:c r="C406" s="66" t="str">
        <x:v>MODELO_9_ANO</x:v>
      </x:c>
      <x:c r="D406" s="66" t="str">
        <x:v>MT</x:v>
      </x:c>
      <x:c r="E406" s="66" t="str">
        <x:v>Matemática</x:v>
      </x:c>
      <x:c r="F406" s="66" t="n">
        <x:v>10</x:v>
      </x:c>
      <x:c r="G406" s="66" t="n">
        <x:v>7</x:v>
      </x:c>
      <x:c r="H406" s="67" t="n">
        <x:f>G406/F406</x:f>
        <x:v>0.7</x:v>
      </x:c>
      <x:c r="I406" s="68" t="n">
        <x:f>'Premissas'!$B$15</x:f>
        <x:v>50</x:v>
      </x:c>
      <x:c r="J406" s="68" t="n">
        <x:f>'Premissas'!$G$14</x:f>
        <x:v>1</x:v>
      </x:c>
      <x:c r="K406" s="69" t="n">
        <x:f>ROUND(MAX('Premissas'!$B$5,L406-N406),1)</x:f>
        <x:v>641</x:v>
      </x:c>
      <x:c r="L406" s="69" t="n">
        <x:f>ROUND(MAX('Premissas'!$B$5,MIN('Premissas'!$B$6,'Premissas'!$B$5+('Premissas'!$B$6-'Premissas'!$B$5)*(3*H406^2-2*H406^3)+I406*4*H406*(1-H406))),1)</x:f>
        <x:v>712.4</x:v>
      </x:c>
      <x:c r="M406" s="69" t="n">
        <x:f>ROUND(MIN('Premissas'!$B$6,L406+N406),1)</x:f>
        <x:v>783.8</x:v>
      </x:c>
      <x:c r="N406" s="69" t="n">
        <x:f>ROUND('Premissas'!$B$7*J406*SQRT(10/F406)*4*H406*(1-H406),1)</x:f>
        <x:v>71.4</x:v>
      </x:c>
      <x:c r="O406" s="66" t="str">
        <x:v>PROVISÓRIA</x:v>
      </x:c>
    </x:row>
    <x:row r="407">
      <x:c r="A407" s="56" t="str">
        <x:v>Escala comum 7º–9º</x:v>
      </x:c>
      <x:c r="B407" s="56" t="str">
        <x:v>9º ano</x:v>
      </x:c>
      <x:c r="C407" s="56" t="str">
        <x:v>MODELO_9_ANO</x:v>
      </x:c>
      <x:c r="D407" s="56" t="str">
        <x:v>MT</x:v>
      </x:c>
      <x:c r="E407" s="56" t="str">
        <x:v>Matemática</x:v>
      </x:c>
      <x:c r="F407" s="56" t="n">
        <x:v>10</x:v>
      </x:c>
      <x:c r="G407" s="56" t="n">
        <x:v>8</x:v>
      </x:c>
      <x:c r="H407" s="70" t="n">
        <x:f>G407/F407</x:f>
        <x:v>0.8</x:v>
      </x:c>
      <x:c r="I407" s="59" t="n">
        <x:f>'Premissas'!$B$15</x:f>
        <x:v>50</x:v>
      </x:c>
      <x:c r="J407" s="59" t="n">
        <x:f>'Premissas'!$G$14</x:f>
        <x:v>1</x:v>
      </x:c>
      <x:c r="K407" s="57" t="n">
        <x:f>ROUND(MAX('Premissas'!$B$5,L407-N407),1)</x:f>
        <x:v>715.2</x:v>
      </x:c>
      <x:c r="L407" s="57" t="n">
        <x:f>ROUND(MAX('Premissas'!$B$5,MIN('Premissas'!$B$6,'Premissas'!$B$5+('Premissas'!$B$6-'Premissas'!$B$5)*(3*H407^2-2*H407^3)+I407*4*H407*(1-H407))),1)</x:f>
        <x:v>769.6</x:v>
      </x:c>
      <x:c r="M407" s="57" t="n">
        <x:f>ROUND(MIN('Premissas'!$B$6,L407+N407),1)</x:f>
        <x:v>800</x:v>
      </x:c>
      <x:c r="N407" s="57" t="n">
        <x:f>ROUND('Premissas'!$B$7*J407*SQRT(10/F407)*4*H407*(1-H407),1)</x:f>
        <x:v>54.4</x:v>
      </x:c>
      <x:c r="O407" s="56" t="str">
        <x:v>PROVISÓRIA</x:v>
      </x:c>
    </x:row>
    <x:row r="408">
      <x:c r="A408" s="66" t="str">
        <x:v>Escala comum 7º–9º</x:v>
      </x:c>
      <x:c r="B408" s="66" t="str">
        <x:v>9º ano</x:v>
      </x:c>
      <x:c r="C408" s="66" t="str">
        <x:v>MODELO_9_ANO</x:v>
      </x:c>
      <x:c r="D408" s="66" t="str">
        <x:v>MT</x:v>
      </x:c>
      <x:c r="E408" s="66" t="str">
        <x:v>Matemática</x:v>
      </x:c>
      <x:c r="F408" s="66" t="n">
        <x:v>10</x:v>
      </x:c>
      <x:c r="G408" s="66" t="n">
        <x:v>9</x:v>
      </x:c>
      <x:c r="H408" s="67" t="n">
        <x:f>G408/F408</x:f>
        <x:v>0.9</x:v>
      </x:c>
      <x:c r="I408" s="68" t="n">
        <x:f>'Premissas'!$B$15</x:f>
        <x:v>50</x:v>
      </x:c>
      <x:c r="J408" s="68" t="n">
        <x:f>'Premissas'!$G$14</x:f>
        <x:v>1</x:v>
      </x:c>
      <x:c r="K408" s="69" t="n">
        <x:f>ROUND(MAX('Premissas'!$B$5,L408-N408),1)</x:f>
        <x:v>769.4</x:v>
      </x:c>
      <x:c r="L408" s="69" t="n">
        <x:f>ROUND(MAX('Premissas'!$B$5,MIN('Premissas'!$B$6,'Premissas'!$B$5+('Premissas'!$B$6-'Premissas'!$B$5)*(3*H408^2-2*H408^3)+I408*4*H408*(1-H408))),1)</x:f>
        <x:v>800</x:v>
      </x:c>
      <x:c r="M408" s="69" t="n">
        <x:f>ROUND(MIN('Premissas'!$B$6,L408+N408),1)</x:f>
        <x:v>800</x:v>
      </x:c>
      <x:c r="N408" s="69" t="n">
        <x:f>ROUND('Premissas'!$B$7*J408*SQRT(10/F408)*4*H408*(1-H408),1)</x:f>
        <x:v>30.6</x:v>
      </x:c>
      <x:c r="O408" s="66" t="str">
        <x:v>PROVISÓRIA</x:v>
      </x:c>
    </x:row>
    <x:row r="409">
      <x:c r="A409" s="56" t="str">
        <x:v>Escala comum 7º–9º</x:v>
      </x:c>
      <x:c r="B409" s="56" t="str">
        <x:v>9º ano</x:v>
      </x:c>
      <x:c r="C409" s="56" t="str">
        <x:v>MODELO_9_ANO</x:v>
      </x:c>
      <x:c r="D409" s="56" t="str">
        <x:v>MT</x:v>
      </x:c>
      <x:c r="E409" s="56" t="str">
        <x:v>Matemática</x:v>
      </x:c>
      <x:c r="F409" s="56" t="n">
        <x:v>10</x:v>
      </x:c>
      <x:c r="G409" s="56" t="n">
        <x:v>10</x:v>
      </x:c>
      <x:c r="H409" s="70" t="n">
        <x:f>G409/F409</x:f>
        <x:v>1</x:v>
      </x:c>
      <x:c r="I409" s="59" t="n">
        <x:f>'Premissas'!$B$15</x:f>
        <x:v>50</x:v>
      </x:c>
      <x:c r="J409" s="59" t="n">
        <x:f>'Premissas'!$G$14</x:f>
        <x:v>1</x:v>
      </x:c>
      <x:c r="K409" s="57" t="n">
        <x:f>ROUND(MAX('Premissas'!$B$5,L409-N409),1)</x:f>
        <x:v>800</x:v>
      </x:c>
      <x:c r="L409" s="57" t="n">
        <x:f>ROUND(MAX('Premissas'!$B$5,MIN('Premissas'!$B$6,'Premissas'!$B$5+('Premissas'!$B$6-'Premissas'!$B$5)*(3*H409^2-2*H409^3)+I409*4*H409*(1-H409))),1)</x:f>
        <x:v>800</x:v>
      </x:c>
      <x:c r="M409" s="57" t="n">
        <x:f>ROUND(MIN('Premissas'!$B$6,L409+N409),1)</x:f>
        <x:v>800</x:v>
      </x:c>
      <x:c r="N409" s="57" t="n">
        <x:f>ROUND('Premissas'!$B$7*J409*SQRT(10/F409)*4*H409*(1-H409),1)</x:f>
        <x:v>0</x:v>
      </x:c>
      <x:c r="O409" s="56" t="str">
        <x:v>PROVISÓRIA</x:v>
      </x:c>
    </x:row>
    <x:row r="410">
      <x:c r="A410" s="66" t="str">
        <x:v>Escala comum 7º–9º</x:v>
      </x:c>
      <x:c r="B410" s="66" t="str">
        <x:v>9º ano</x:v>
      </x:c>
      <x:c r="C410" s="66" t="str">
        <x:v>MODELO_9_ANO</x:v>
      </x:c>
      <x:c r="D410" s="66" t="str">
        <x:v>CH</x:v>
      </x:c>
      <x:c r="E410" s="66" t="str">
        <x:v>Ciências Humanas</x:v>
      </x:c>
      <x:c r="F410" s="66" t="n">
        <x:v>15</x:v>
      </x:c>
      <x:c r="G410" s="66" t="n">
        <x:v>0</x:v>
      </x:c>
      <x:c r="H410" s="67" t="n">
        <x:f>G410/F410</x:f>
        <x:v>0</x:v>
      </x:c>
      <x:c r="I410" s="68" t="n">
        <x:f>'Premissas'!$B$15</x:f>
        <x:v>50</x:v>
      </x:c>
      <x:c r="J410" s="68" t="n">
        <x:f>'Premissas'!$G$15</x:f>
        <x:v>1</x:v>
      </x:c>
      <x:c r="K410" s="69" t="n">
        <x:f>ROUND(MAX('Premissas'!$B$5,L410-N410),1)</x:f>
        <x:v>200</x:v>
      </x:c>
      <x:c r="L410" s="69" t="n">
        <x:f>ROUND(MAX('Premissas'!$B$5,MIN('Premissas'!$B$6,'Premissas'!$B$5+('Premissas'!$B$6-'Premissas'!$B$5)*(3*H410^2-2*H410^3)+I410*4*H410*(1-H410))),1)</x:f>
        <x:v>200</x:v>
      </x:c>
      <x:c r="M410" s="69" t="n">
        <x:f>ROUND(MIN('Premissas'!$B$6,L410+N410),1)</x:f>
        <x:v>200</x:v>
      </x:c>
      <x:c r="N410" s="69" t="n">
        <x:f>ROUND('Premissas'!$B$7*J410*SQRT(10/F410)*4*H410*(1-H410),1)</x:f>
        <x:v>0</x:v>
      </x:c>
      <x:c r="O410" s="66" t="str">
        <x:v>PROVISÓRIA</x:v>
      </x:c>
    </x:row>
    <x:row r="411">
      <x:c r="A411" s="56" t="str">
        <x:v>Escala comum 7º–9º</x:v>
      </x:c>
      <x:c r="B411" s="56" t="str">
        <x:v>9º ano</x:v>
      </x:c>
      <x:c r="C411" s="56" t="str">
        <x:v>MODELO_9_ANO</x:v>
      </x:c>
      <x:c r="D411" s="56" t="str">
        <x:v>CH</x:v>
      </x:c>
      <x:c r="E411" s="56" t="str">
        <x:v>Ciências Humanas</x:v>
      </x:c>
      <x:c r="F411" s="56" t="n">
        <x:v>15</x:v>
      </x:c>
      <x:c r="G411" s="56" t="n">
        <x:v>1</x:v>
      </x:c>
      <x:c r="H411" s="70" t="n">
        <x:f>G411/F411</x:f>
        <x:v>0.06666666666666667</x:v>
      </x:c>
      <x:c r="I411" s="59" t="n">
        <x:f>'Premissas'!$B$15</x:f>
        <x:v>50</x:v>
      </x:c>
      <x:c r="J411" s="59" t="n">
        <x:f>'Premissas'!$G$15</x:f>
        <x:v>1</x:v>
      </x:c>
      <x:c r="K411" s="57" t="n">
        <x:f>ROUND(MAX('Premissas'!$B$5,L411-N411),1)</x:f>
        <x:v>202.8</x:v>
      </x:c>
      <x:c r="L411" s="57" t="n">
        <x:f>ROUND(MAX('Premissas'!$B$5,MIN('Premissas'!$B$6,'Premissas'!$B$5+('Premissas'!$B$6-'Premissas'!$B$5)*(3*H411^2-2*H411^3)+I411*4*H411*(1-H411))),1)</x:f>
        <x:v>220.1</x:v>
      </x:c>
      <x:c r="M411" s="57" t="n">
        <x:f>ROUND(MIN('Premissas'!$B$6,L411+N411),1)</x:f>
        <x:v>237.4</x:v>
      </x:c>
      <x:c r="N411" s="57" t="n">
        <x:f>ROUND('Premissas'!$B$7*J411*SQRT(10/F411)*4*H411*(1-H411),1)</x:f>
        <x:v>17.3</x:v>
      </x:c>
      <x:c r="O411" s="56" t="str">
        <x:v>PROVISÓRIA</x:v>
      </x:c>
    </x:row>
    <x:row r="412">
      <x:c r="A412" s="66" t="str">
        <x:v>Escala comum 7º–9º</x:v>
      </x:c>
      <x:c r="B412" s="66" t="str">
        <x:v>9º ano</x:v>
      </x:c>
      <x:c r="C412" s="66" t="str">
        <x:v>MODELO_9_ANO</x:v>
      </x:c>
      <x:c r="D412" s="66" t="str">
        <x:v>CH</x:v>
      </x:c>
      <x:c r="E412" s="66" t="str">
        <x:v>Ciências Humanas</x:v>
      </x:c>
      <x:c r="F412" s="66" t="n">
        <x:v>15</x:v>
      </x:c>
      <x:c r="G412" s="66" t="n">
        <x:v>2</x:v>
      </x:c>
      <x:c r="H412" s="67" t="n">
        <x:f>G412/F412</x:f>
        <x:v>0.13333333333333333</x:v>
      </x:c>
      <x:c r="I412" s="68" t="n">
        <x:f>'Premissas'!$B$15</x:f>
        <x:v>50</x:v>
      </x:c>
      <x:c r="J412" s="68" t="n">
        <x:f>'Premissas'!$G$15</x:f>
        <x:v>1</x:v>
      </x:c>
      <x:c r="K412" s="69" t="n">
        <x:f>ROUND(MAX('Premissas'!$B$5,L412-N412),1)</x:f>
        <x:v>220.2</x:v>
      </x:c>
      <x:c r="L412" s="69" t="n">
        <x:f>ROUND(MAX('Premissas'!$B$5,MIN('Premissas'!$B$6,'Premissas'!$B$5+('Premissas'!$B$6-'Premissas'!$B$5)*(3*H412^2-2*H412^3)+I412*4*H412*(1-H412))),1)</x:f>
        <x:v>252.3</x:v>
      </x:c>
      <x:c r="M412" s="69" t="n">
        <x:f>ROUND(MIN('Premissas'!$B$6,L412+N412),1)</x:f>
        <x:v>284.4</x:v>
      </x:c>
      <x:c r="N412" s="69" t="n">
        <x:f>ROUND('Premissas'!$B$7*J412*SQRT(10/F412)*4*H412*(1-H412),1)</x:f>
        <x:v>32.1</x:v>
      </x:c>
      <x:c r="O412" s="66" t="str">
        <x:v>PROVISÓRIA</x:v>
      </x:c>
    </x:row>
    <x:row r="413">
      <x:c r="A413" s="56" t="str">
        <x:v>Escala comum 7º–9º</x:v>
      </x:c>
      <x:c r="B413" s="56" t="str">
        <x:v>9º ano</x:v>
      </x:c>
      <x:c r="C413" s="56" t="str">
        <x:v>MODELO_9_ANO</x:v>
      </x:c>
      <x:c r="D413" s="56" t="str">
        <x:v>CH</x:v>
      </x:c>
      <x:c r="E413" s="56" t="str">
        <x:v>Ciências Humanas</x:v>
      </x:c>
      <x:c r="F413" s="56" t="n">
        <x:v>15</x:v>
      </x:c>
      <x:c r="G413" s="56" t="n">
        <x:v>3</x:v>
      </x:c>
      <x:c r="H413" s="70" t="n">
        <x:f>G413/F413</x:f>
        <x:v>0.2</x:v>
      </x:c>
      <x:c r="I413" s="59" t="n">
        <x:f>'Premissas'!$B$15</x:f>
        <x:v>50</x:v>
      </x:c>
      <x:c r="J413" s="59" t="n">
        <x:f>'Premissas'!$G$15</x:f>
        <x:v>1</x:v>
      </x:c>
      <x:c r="K413" s="57" t="n">
        <x:f>ROUND(MAX('Premissas'!$B$5,L413-N413),1)</x:f>
        <x:v>250</x:v>
      </x:c>
      <x:c r="L413" s="57" t="n">
        <x:f>ROUND(MAX('Premissas'!$B$5,MIN('Premissas'!$B$6,'Premissas'!$B$5+('Premissas'!$B$6-'Premissas'!$B$5)*(3*H413^2-2*H413^3)+I413*4*H413*(1-H413))),1)</x:f>
        <x:v>294.4</x:v>
      </x:c>
      <x:c r="M413" s="57" t="n">
        <x:f>ROUND(MIN('Premissas'!$B$6,L413+N413),1)</x:f>
        <x:v>338.8</x:v>
      </x:c>
      <x:c r="N413" s="57" t="n">
        <x:f>ROUND('Premissas'!$B$7*J413*SQRT(10/F413)*4*H413*(1-H413),1)</x:f>
        <x:v>44.4</x:v>
      </x:c>
      <x:c r="O413" s="56" t="str">
        <x:v>PROVISÓRIA</x:v>
      </x:c>
    </x:row>
    <x:row r="414">
      <x:c r="A414" s="66" t="str">
        <x:v>Escala comum 7º–9º</x:v>
      </x:c>
      <x:c r="B414" s="66" t="str">
        <x:v>9º ano</x:v>
      </x:c>
      <x:c r="C414" s="66" t="str">
        <x:v>MODELO_9_ANO</x:v>
      </x:c>
      <x:c r="D414" s="66" t="str">
        <x:v>CH</x:v>
      </x:c>
      <x:c r="E414" s="66" t="str">
        <x:v>Ciências Humanas</x:v>
      </x:c>
      <x:c r="F414" s="66" t="n">
        <x:v>15</x:v>
      </x:c>
      <x:c r="G414" s="66" t="n">
        <x:v>4</x:v>
      </x:c>
      <x:c r="H414" s="67" t="n">
        <x:f>G414/F414</x:f>
        <x:v>0.26666666666666666</x:v>
      </x:c>
      <x:c r="I414" s="68" t="n">
        <x:f>'Premissas'!$B$15</x:f>
        <x:v>50</x:v>
      </x:c>
      <x:c r="J414" s="68" t="n">
        <x:f>'Premissas'!$G$15</x:f>
        <x:v>1</x:v>
      </x:c>
      <x:c r="K414" s="69" t="n">
        <x:f>ROUND(MAX('Premissas'!$B$5,L414-N414),1)</x:f>
        <x:v>290.1</x:v>
      </x:c>
      <x:c r="L414" s="69" t="n">
        <x:f>ROUND(MAX('Premissas'!$B$5,MIN('Premissas'!$B$6,'Premissas'!$B$5+('Premissas'!$B$6-'Premissas'!$B$5)*(3*H414^2-2*H414^3)+I414*4*H414*(1-H414))),1)</x:f>
        <x:v>344.4</x:v>
      </x:c>
      <x:c r="M414" s="69" t="n">
        <x:f>ROUND(MIN('Premissas'!$B$6,L414+N414),1)</x:f>
        <x:v>398.7</x:v>
      </x:c>
      <x:c r="N414" s="69" t="n">
        <x:f>ROUND('Premissas'!$B$7*J414*SQRT(10/F414)*4*H414*(1-H414),1)</x:f>
        <x:v>54.3</x:v>
      </x:c>
      <x:c r="O414" s="66" t="str">
        <x:v>PROVISÓRIA</x:v>
      </x:c>
    </x:row>
    <x:row r="415">
      <x:c r="A415" s="56" t="str">
        <x:v>Escala comum 7º–9º</x:v>
      </x:c>
      <x:c r="B415" s="56" t="str">
        <x:v>9º ano</x:v>
      </x:c>
      <x:c r="C415" s="56" t="str">
        <x:v>MODELO_9_ANO</x:v>
      </x:c>
      <x:c r="D415" s="56" t="str">
        <x:v>CH</x:v>
      </x:c>
      <x:c r="E415" s="56" t="str">
        <x:v>Ciências Humanas</x:v>
      </x:c>
      <x:c r="F415" s="56" t="n">
        <x:v>15</x:v>
      </x:c>
      <x:c r="G415" s="56" t="n">
        <x:v>5</x:v>
      </x:c>
      <x:c r="H415" s="70" t="n">
        <x:f>G415/F415</x:f>
        <x:v>0.3333333333333333</x:v>
      </x:c>
      <x:c r="I415" s="59" t="n">
        <x:f>'Premissas'!$B$15</x:f>
        <x:v>50</x:v>
      </x:c>
      <x:c r="J415" s="59" t="n">
        <x:f>'Premissas'!$G$15</x:f>
        <x:v>1</x:v>
      </x:c>
      <x:c r="K415" s="57" t="n">
        <x:f>ROUND(MAX('Premissas'!$B$5,L415-N415),1)</x:f>
        <x:v>338.3</x:v>
      </x:c>
      <x:c r="L415" s="57" t="n">
        <x:f>ROUND(MAX('Premissas'!$B$5,MIN('Premissas'!$B$6,'Premissas'!$B$5+('Premissas'!$B$6-'Premissas'!$B$5)*(3*H415^2-2*H415^3)+I415*4*H415*(1-H415))),1)</x:f>
        <x:v>400</x:v>
      </x:c>
      <x:c r="M415" s="57" t="n">
        <x:f>ROUND(MIN('Premissas'!$B$6,L415+N415),1)</x:f>
        <x:v>461.7</x:v>
      </x:c>
      <x:c r="N415" s="57" t="n">
        <x:f>ROUND('Premissas'!$B$7*J415*SQRT(10/F415)*4*H415*(1-H415),1)</x:f>
        <x:v>61.7</x:v>
      </x:c>
      <x:c r="O415" s="56" t="str">
        <x:v>PROVISÓRIA</x:v>
      </x:c>
    </x:row>
    <x:row r="416">
      <x:c r="A416" s="66" t="str">
        <x:v>Escala comum 7º–9º</x:v>
      </x:c>
      <x:c r="B416" s="66" t="str">
        <x:v>9º ano</x:v>
      </x:c>
      <x:c r="C416" s="66" t="str">
        <x:v>MODELO_9_ANO</x:v>
      </x:c>
      <x:c r="D416" s="66" t="str">
        <x:v>CH</x:v>
      </x:c>
      <x:c r="E416" s="66" t="str">
        <x:v>Ciências Humanas</x:v>
      </x:c>
      <x:c r="F416" s="66" t="n">
        <x:v>15</x:v>
      </x:c>
      <x:c r="G416" s="66" t="n">
        <x:v>6</x:v>
      </x:c>
      <x:c r="H416" s="67" t="n">
        <x:f>G416/F416</x:f>
        <x:v>0.4</x:v>
      </x:c>
      <x:c r="I416" s="68" t="n">
        <x:f>'Premissas'!$B$15</x:f>
        <x:v>50</x:v>
      </x:c>
      <x:c r="J416" s="68" t="n">
        <x:f>'Premissas'!$G$15</x:f>
        <x:v>1</x:v>
      </x:c>
      <x:c r="K416" s="69" t="n">
        <x:f>ROUND(MAX('Premissas'!$B$5,L416-N416),1)</x:f>
        <x:v>392.6</x:v>
      </x:c>
      <x:c r="L416" s="69" t="n">
        <x:f>ROUND(MAX('Premissas'!$B$5,MIN('Premissas'!$B$6,'Premissas'!$B$5+('Premissas'!$B$6-'Premissas'!$B$5)*(3*H416^2-2*H416^3)+I416*4*H416*(1-H416))),1)</x:f>
        <x:v>459.2</x:v>
      </x:c>
      <x:c r="M416" s="69" t="n">
        <x:f>ROUND(MIN('Premissas'!$B$6,L416+N416),1)</x:f>
        <x:v>525.8</x:v>
      </x:c>
      <x:c r="N416" s="69" t="n">
        <x:f>ROUND('Premissas'!$B$7*J416*SQRT(10/F416)*4*H416*(1-H416),1)</x:f>
        <x:v>66.6</x:v>
      </x:c>
      <x:c r="O416" s="66" t="str">
        <x:v>PROVISÓRIA</x:v>
      </x:c>
    </x:row>
    <x:row r="417">
      <x:c r="A417" s="56" t="str">
        <x:v>Escala comum 7º–9º</x:v>
      </x:c>
      <x:c r="B417" s="56" t="str">
        <x:v>9º ano</x:v>
      </x:c>
      <x:c r="C417" s="56" t="str">
        <x:v>MODELO_9_ANO</x:v>
      </x:c>
      <x:c r="D417" s="56" t="str">
        <x:v>CH</x:v>
      </x:c>
      <x:c r="E417" s="56" t="str">
        <x:v>Ciências Humanas</x:v>
      </x:c>
      <x:c r="F417" s="56" t="n">
        <x:v>15</x:v>
      </x:c>
      <x:c r="G417" s="56" t="n">
        <x:v>7</x:v>
      </x:c>
      <x:c r="H417" s="70" t="n">
        <x:f>G417/F417</x:f>
        <x:v>0.4666666666666667</x:v>
      </x:c>
      <x:c r="I417" s="59" t="n">
        <x:f>'Premissas'!$B$15</x:f>
        <x:v>50</x:v>
      </x:c>
      <x:c r="J417" s="59" t="n">
        <x:f>'Premissas'!$G$15</x:f>
        <x:v>1</x:v>
      </x:c>
      <x:c r="K417" s="57" t="n">
        <x:f>ROUND(MAX('Premissas'!$B$5,L417-N417),1)</x:f>
        <x:v>450.7</x:v>
      </x:c>
      <x:c r="L417" s="57" t="n">
        <x:f>ROUND(MAX('Premissas'!$B$5,MIN('Premissas'!$B$6,'Premissas'!$B$5+('Premissas'!$B$6-'Premissas'!$B$5)*(3*H417^2-2*H417^3)+I417*4*H417*(1-H417))),1)</x:f>
        <x:v>519.8</x:v>
      </x:c>
      <x:c r="M417" s="57" t="n">
        <x:f>ROUND(MIN('Premissas'!$B$6,L417+N417),1)</x:f>
        <x:v>588.9</x:v>
      </x:c>
      <x:c r="N417" s="57" t="n">
        <x:f>ROUND('Premissas'!$B$7*J417*SQRT(10/F417)*4*H417*(1-H417),1)</x:f>
        <x:v>69.1</x:v>
      </x:c>
      <x:c r="O417" s="56" t="str">
        <x:v>PROVISÓRIA</x:v>
      </x:c>
    </x:row>
    <x:row r="418">
      <x:c r="A418" s="66" t="str">
        <x:v>Escala comum 7º–9º</x:v>
      </x:c>
      <x:c r="B418" s="66" t="str">
        <x:v>9º ano</x:v>
      </x:c>
      <x:c r="C418" s="66" t="str">
        <x:v>MODELO_9_ANO</x:v>
      </x:c>
      <x:c r="D418" s="66" t="str">
        <x:v>CH</x:v>
      </x:c>
      <x:c r="E418" s="66" t="str">
        <x:v>Ciências Humanas</x:v>
      </x:c>
      <x:c r="F418" s="66" t="n">
        <x:v>15</x:v>
      </x:c>
      <x:c r="G418" s="66" t="n">
        <x:v>8</x:v>
      </x:c>
      <x:c r="H418" s="67" t="n">
        <x:f>G418/F418</x:f>
        <x:v>0.5333333333333333</x:v>
      </x:c>
      <x:c r="I418" s="68" t="n">
        <x:f>'Premissas'!$B$15</x:f>
        <x:v>50</x:v>
      </x:c>
      <x:c r="J418" s="68" t="n">
        <x:f>'Premissas'!$G$15</x:f>
        <x:v>1</x:v>
      </x:c>
      <x:c r="K418" s="69" t="n">
        <x:f>ROUND(MAX('Premissas'!$B$5,L418-N418),1)</x:f>
        <x:v>510.6</x:v>
      </x:c>
      <x:c r="L418" s="69" t="n">
        <x:f>ROUND(MAX('Premissas'!$B$5,MIN('Premissas'!$B$6,'Premissas'!$B$5+('Premissas'!$B$6-'Premissas'!$B$5)*(3*H418^2-2*H418^3)+I418*4*H418*(1-H418))),1)</x:f>
        <x:v>579.7</x:v>
      </x:c>
      <x:c r="M418" s="69" t="n">
        <x:f>ROUND(MIN('Premissas'!$B$6,L418+N418),1)</x:f>
        <x:v>648.8</x:v>
      </x:c>
      <x:c r="N418" s="69" t="n">
        <x:f>ROUND('Premissas'!$B$7*J418*SQRT(10/F418)*4*H418*(1-H418),1)</x:f>
        <x:v>69.1</x:v>
      </x:c>
      <x:c r="O418" s="66" t="str">
        <x:v>PROVISÓRIA</x:v>
      </x:c>
    </x:row>
    <x:row r="419">
      <x:c r="A419" s="56" t="str">
        <x:v>Escala comum 7º–9º</x:v>
      </x:c>
      <x:c r="B419" s="56" t="str">
        <x:v>9º ano</x:v>
      </x:c>
      <x:c r="C419" s="56" t="str">
        <x:v>MODELO_9_ANO</x:v>
      </x:c>
      <x:c r="D419" s="56" t="str">
        <x:v>CH</x:v>
      </x:c>
      <x:c r="E419" s="56" t="str">
        <x:v>Ciências Humanas</x:v>
      </x:c>
      <x:c r="F419" s="56" t="n">
        <x:v>15</x:v>
      </x:c>
      <x:c r="G419" s="56" t="n">
        <x:v>9</x:v>
      </x:c>
      <x:c r="H419" s="70" t="n">
        <x:f>G419/F419</x:f>
        <x:v>0.6</x:v>
      </x:c>
      <x:c r="I419" s="59" t="n">
        <x:f>'Premissas'!$B$15</x:f>
        <x:v>50</x:v>
      </x:c>
      <x:c r="J419" s="59" t="n">
        <x:f>'Premissas'!$G$15</x:f>
        <x:v>1</x:v>
      </x:c>
      <x:c r="K419" s="57" t="n">
        <x:f>ROUND(MAX('Premissas'!$B$5,L419-N419),1)</x:f>
        <x:v>570.2</x:v>
      </x:c>
      <x:c r="L419" s="57" t="n">
        <x:f>ROUND(MAX('Premissas'!$B$5,MIN('Premissas'!$B$6,'Premissas'!$B$5+('Premissas'!$B$6-'Premissas'!$B$5)*(3*H419^2-2*H419^3)+I419*4*H419*(1-H419))),1)</x:f>
        <x:v>636.8</x:v>
      </x:c>
      <x:c r="M419" s="57" t="n">
        <x:f>ROUND(MIN('Premissas'!$B$6,L419+N419),1)</x:f>
        <x:v>703.4</x:v>
      </x:c>
      <x:c r="N419" s="57" t="n">
        <x:f>ROUND('Premissas'!$B$7*J419*SQRT(10/F419)*4*H419*(1-H419),1)</x:f>
        <x:v>66.6</x:v>
      </x:c>
      <x:c r="O419" s="56" t="str">
        <x:v>PROVISÓRIA</x:v>
      </x:c>
    </x:row>
    <x:row r="420">
      <x:c r="A420" s="66" t="str">
        <x:v>Escala comum 7º–9º</x:v>
      </x:c>
      <x:c r="B420" s="66" t="str">
        <x:v>9º ano</x:v>
      </x:c>
      <x:c r="C420" s="66" t="str">
        <x:v>MODELO_9_ANO</x:v>
      </x:c>
      <x:c r="D420" s="66" t="str">
        <x:v>CH</x:v>
      </x:c>
      <x:c r="E420" s="66" t="str">
        <x:v>Ciências Humanas</x:v>
      </x:c>
      <x:c r="F420" s="66" t="n">
        <x:v>15</x:v>
      </x:c>
      <x:c r="G420" s="66" t="n">
        <x:v>10</x:v>
      </x:c>
      <x:c r="H420" s="67" t="n">
        <x:f>G420/F420</x:f>
        <x:v>0.6666666666666666</x:v>
      </x:c>
      <x:c r="I420" s="68" t="n">
        <x:f>'Premissas'!$B$15</x:f>
        <x:v>50</x:v>
      </x:c>
      <x:c r="J420" s="68" t="n">
        <x:f>'Premissas'!$G$15</x:f>
        <x:v>1</x:v>
      </x:c>
      <x:c r="K420" s="69" t="n">
        <x:f>ROUND(MAX('Premissas'!$B$5,L420-N420),1)</x:f>
        <x:v>627.2</x:v>
      </x:c>
      <x:c r="L420" s="69" t="n">
        <x:f>ROUND(MAX('Premissas'!$B$5,MIN('Premissas'!$B$6,'Premissas'!$B$5+('Premissas'!$B$6-'Premissas'!$B$5)*(3*H420^2-2*H420^3)+I420*4*H420*(1-H420))),1)</x:f>
        <x:v>688.9</x:v>
      </x:c>
      <x:c r="M420" s="69" t="n">
        <x:f>ROUND(MIN('Premissas'!$B$6,L420+N420),1)</x:f>
        <x:v>750.6</x:v>
      </x:c>
      <x:c r="N420" s="69" t="n">
        <x:f>ROUND('Premissas'!$B$7*J420*SQRT(10/F420)*4*H420*(1-H420),1)</x:f>
        <x:v>61.7</x:v>
      </x:c>
      <x:c r="O420" s="66" t="str">
        <x:v>PROVISÓRIA</x:v>
      </x:c>
    </x:row>
    <x:row r="421">
      <x:c r="A421" s="56" t="str">
        <x:v>Escala comum 7º–9º</x:v>
      </x:c>
      <x:c r="B421" s="56" t="str">
        <x:v>9º ano</x:v>
      </x:c>
      <x:c r="C421" s="56" t="str">
        <x:v>MODELO_9_ANO</x:v>
      </x:c>
      <x:c r="D421" s="56" t="str">
        <x:v>CH</x:v>
      </x:c>
      <x:c r="E421" s="56" t="str">
        <x:v>Ciências Humanas</x:v>
      </x:c>
      <x:c r="F421" s="56" t="n">
        <x:v>15</x:v>
      </x:c>
      <x:c r="G421" s="56" t="n">
        <x:v>11</x:v>
      </x:c>
      <x:c r="H421" s="70" t="n">
        <x:f>G421/F421</x:f>
        <x:v>0.7333333333333333</x:v>
      </x:c>
      <x:c r="I421" s="59" t="n">
        <x:f>'Premissas'!$B$15</x:f>
        <x:v>50</x:v>
      </x:c>
      <x:c r="J421" s="59" t="n">
        <x:f>'Premissas'!$G$15</x:f>
        <x:v>1</x:v>
      </x:c>
      <x:c r="K421" s="57" t="n">
        <x:f>ROUND(MAX('Premissas'!$B$5,L421-N421),1)</x:f>
        <x:v>679.6</x:v>
      </x:c>
      <x:c r="L421" s="57" t="n">
        <x:f>ROUND(MAX('Premissas'!$B$5,MIN('Premissas'!$B$6,'Premissas'!$B$5+('Premissas'!$B$6-'Premissas'!$B$5)*(3*H421^2-2*H421^3)+I421*4*H421*(1-H421))),1)</x:f>
        <x:v>733.9</x:v>
      </x:c>
      <x:c r="M421" s="57" t="n">
        <x:f>ROUND(MIN('Premissas'!$B$6,L421+N421),1)</x:f>
        <x:v>788.2</x:v>
      </x:c>
      <x:c r="N421" s="57" t="n">
        <x:f>ROUND('Premissas'!$B$7*J421*SQRT(10/F421)*4*H421*(1-H421),1)</x:f>
        <x:v>54.3</x:v>
      </x:c>
      <x:c r="O421" s="56" t="str">
        <x:v>PROVISÓRIA</x:v>
      </x:c>
    </x:row>
    <x:row r="422">
      <x:c r="A422" s="66" t="str">
        <x:v>Escala comum 7º–9º</x:v>
      </x:c>
      <x:c r="B422" s="66" t="str">
        <x:v>9º ano</x:v>
      </x:c>
      <x:c r="C422" s="66" t="str">
        <x:v>MODELO_9_ANO</x:v>
      </x:c>
      <x:c r="D422" s="66" t="str">
        <x:v>CH</x:v>
      </x:c>
      <x:c r="E422" s="66" t="str">
        <x:v>Ciências Humanas</x:v>
      </x:c>
      <x:c r="F422" s="66" t="n">
        <x:v>15</x:v>
      </x:c>
      <x:c r="G422" s="66" t="n">
        <x:v>12</x:v>
      </x:c>
      <x:c r="H422" s="67" t="n">
        <x:f>G422/F422</x:f>
        <x:v>0.8</x:v>
      </x:c>
      <x:c r="I422" s="68" t="n">
        <x:f>'Premissas'!$B$15</x:f>
        <x:v>50</x:v>
      </x:c>
      <x:c r="J422" s="68" t="n">
        <x:f>'Premissas'!$G$15</x:f>
        <x:v>1</x:v>
      </x:c>
      <x:c r="K422" s="69" t="n">
        <x:f>ROUND(MAX('Premissas'!$B$5,L422-N422),1)</x:f>
        <x:v>725.2</x:v>
      </x:c>
      <x:c r="L422" s="69" t="n">
        <x:f>ROUND(MAX('Premissas'!$B$5,MIN('Premissas'!$B$6,'Premissas'!$B$5+('Premissas'!$B$6-'Premissas'!$B$5)*(3*H422^2-2*H422^3)+I422*4*H422*(1-H422))),1)</x:f>
        <x:v>769.6</x:v>
      </x:c>
      <x:c r="M422" s="69" t="n">
        <x:f>ROUND(MIN('Premissas'!$B$6,L422+N422),1)</x:f>
        <x:v>800</x:v>
      </x:c>
      <x:c r="N422" s="69" t="n">
        <x:f>ROUND('Premissas'!$B$7*J422*SQRT(10/F422)*4*H422*(1-H422),1)</x:f>
        <x:v>44.4</x:v>
      </x:c>
      <x:c r="O422" s="66" t="str">
        <x:v>PROVISÓRIA</x:v>
      </x:c>
    </x:row>
    <x:row r="423">
      <x:c r="A423" s="56" t="str">
        <x:v>Escala comum 7º–9º</x:v>
      </x:c>
      <x:c r="B423" s="56" t="str">
        <x:v>9º ano</x:v>
      </x:c>
      <x:c r="C423" s="56" t="str">
        <x:v>MODELO_9_ANO</x:v>
      </x:c>
      <x:c r="D423" s="56" t="str">
        <x:v>CH</x:v>
      </x:c>
      <x:c r="E423" s="56" t="str">
        <x:v>Ciências Humanas</x:v>
      </x:c>
      <x:c r="F423" s="56" t="n">
        <x:v>15</x:v>
      </x:c>
      <x:c r="G423" s="56" t="n">
        <x:v>13</x:v>
      </x:c>
      <x:c r="H423" s="70" t="n">
        <x:f>G423/F423</x:f>
        <x:v>0.8666666666666667</x:v>
      </x:c>
      <x:c r="I423" s="59" t="n">
        <x:f>'Premissas'!$B$15</x:f>
        <x:v>50</x:v>
      </x:c>
      <x:c r="J423" s="59" t="n">
        <x:f>'Premissas'!$G$15</x:f>
        <x:v>1</x:v>
      </x:c>
      <x:c r="K423" s="57" t="n">
        <x:f>ROUND(MAX('Premissas'!$B$5,L423-N423),1)</x:f>
        <x:v>761.9</x:v>
      </x:c>
      <x:c r="L423" s="57" t="n">
        <x:f>ROUND(MAX('Premissas'!$B$5,MIN('Premissas'!$B$6,'Premissas'!$B$5+('Premissas'!$B$6-'Premissas'!$B$5)*(3*H423^2-2*H423^3)+I423*4*H423*(1-H423))),1)</x:f>
        <x:v>794</x:v>
      </x:c>
      <x:c r="M423" s="57" t="n">
        <x:f>ROUND(MIN('Premissas'!$B$6,L423+N423),1)</x:f>
        <x:v>800</x:v>
      </x:c>
      <x:c r="N423" s="57" t="n">
        <x:f>ROUND('Premissas'!$B$7*J423*SQRT(10/F423)*4*H423*(1-H423),1)</x:f>
        <x:v>32.1</x:v>
      </x:c>
      <x:c r="O423" s="56" t="str">
        <x:v>PROVISÓRIA</x:v>
      </x:c>
    </x:row>
    <x:row r="424">
      <x:c r="A424" s="66" t="str">
        <x:v>Escala comum 7º–9º</x:v>
      </x:c>
      <x:c r="B424" s="66" t="str">
        <x:v>9º ano</x:v>
      </x:c>
      <x:c r="C424" s="66" t="str">
        <x:v>MODELO_9_ANO</x:v>
      </x:c>
      <x:c r="D424" s="66" t="str">
        <x:v>CH</x:v>
      </x:c>
      <x:c r="E424" s="66" t="str">
        <x:v>Ciências Humanas</x:v>
      </x:c>
      <x:c r="F424" s="66" t="n">
        <x:v>15</x:v>
      </x:c>
      <x:c r="G424" s="66" t="n">
        <x:v>14</x:v>
      </x:c>
      <x:c r="H424" s="67" t="n">
        <x:f>G424/F424</x:f>
        <x:v>0.9333333333333333</x:v>
      </x:c>
      <x:c r="I424" s="68" t="n">
        <x:f>'Premissas'!$B$15</x:f>
        <x:v>50</x:v>
      </x:c>
      <x:c r="J424" s="68" t="n">
        <x:f>'Premissas'!$G$15</x:f>
        <x:v>1</x:v>
      </x:c>
      <x:c r="K424" s="69" t="n">
        <x:f>ROUND(MAX('Premissas'!$B$5,L424-N424),1)</x:f>
        <x:v>782.7</x:v>
      </x:c>
      <x:c r="L424" s="69" t="n">
        <x:f>ROUND(MAX('Premissas'!$B$5,MIN('Premissas'!$B$6,'Premissas'!$B$5+('Premissas'!$B$6-'Premissas'!$B$5)*(3*H424^2-2*H424^3)+I424*4*H424*(1-H424))),1)</x:f>
        <x:v>800</x:v>
      </x:c>
      <x:c r="M424" s="69" t="n">
        <x:f>ROUND(MIN('Premissas'!$B$6,L424+N424),1)</x:f>
        <x:v>800</x:v>
      </x:c>
      <x:c r="N424" s="69" t="n">
        <x:f>ROUND('Premissas'!$B$7*J424*SQRT(10/F424)*4*H424*(1-H424),1)</x:f>
        <x:v>17.3</x:v>
      </x:c>
      <x:c r="O424" s="66" t="str">
        <x:v>PROVISÓRIA</x:v>
      </x:c>
    </x:row>
    <x:row r="425">
      <x:c r="A425" s="56" t="str">
        <x:v>Escala comum 7º–9º</x:v>
      </x:c>
      <x:c r="B425" s="56" t="str">
        <x:v>9º ano</x:v>
      </x:c>
      <x:c r="C425" s="56" t="str">
        <x:v>MODELO_9_ANO</x:v>
      </x:c>
      <x:c r="D425" s="56" t="str">
        <x:v>CH</x:v>
      </x:c>
      <x:c r="E425" s="56" t="str">
        <x:v>Ciências Humanas</x:v>
      </x:c>
      <x:c r="F425" s="56" t="n">
        <x:v>15</x:v>
      </x:c>
      <x:c r="G425" s="56" t="n">
        <x:v>15</x:v>
      </x:c>
      <x:c r="H425" s="70" t="n">
        <x:f>G425/F425</x:f>
        <x:v>1</x:v>
      </x:c>
      <x:c r="I425" s="59" t="n">
        <x:f>'Premissas'!$B$15</x:f>
        <x:v>50</x:v>
      </x:c>
      <x:c r="J425" s="59" t="n">
        <x:f>'Premissas'!$G$15</x:f>
        <x:v>1</x:v>
      </x:c>
      <x:c r="K425" s="57" t="n">
        <x:f>ROUND(MAX('Premissas'!$B$5,L425-N425),1)</x:f>
        <x:v>800</x:v>
      </x:c>
      <x:c r="L425" s="57" t="n">
        <x:f>ROUND(MAX('Premissas'!$B$5,MIN('Premissas'!$B$6,'Premissas'!$B$5+('Premissas'!$B$6-'Premissas'!$B$5)*(3*H425^2-2*H425^3)+I425*4*H425*(1-H425))),1)</x:f>
        <x:v>800</x:v>
      </x:c>
      <x:c r="M425" s="57" t="n">
        <x:f>ROUND(MIN('Premissas'!$B$6,L425+N425),1)</x:f>
        <x:v>800</x:v>
      </x:c>
      <x:c r="N425" s="57" t="n">
        <x:f>ROUND('Premissas'!$B$7*J425*SQRT(10/F425)*4*H425*(1-H425),1)</x:f>
        <x:v>0</x:v>
      </x:c>
      <x:c r="O425" s="56" t="str">
        <x:v>PROVISÓRIA</x:v>
      </x:c>
    </x:row>
    <x:row r="426">
      <x:c r="A426" s="66" t="str">
        <x:v>Escala comum 7º–9º</x:v>
      </x:c>
      <x:c r="B426" s="66" t="str">
        <x:v>9º ano</x:v>
      </x:c>
      <x:c r="C426" s="66" t="str">
        <x:v>MODELO_9_ANO</x:v>
      </x:c>
      <x:c r="D426" s="66" t="str">
        <x:v>CN</x:v>
      </x:c>
      <x:c r="E426" s="66" t="str">
        <x:v>Ciências da Natureza</x:v>
      </x:c>
      <x:c r="F426" s="66" t="n">
        <x:v>15</x:v>
      </x:c>
      <x:c r="G426" s="66" t="n">
        <x:v>0</x:v>
      </x:c>
      <x:c r="H426" s="67" t="n">
        <x:f>G426/F426</x:f>
        <x:v>0</x:v>
      </x:c>
      <x:c r="I426" s="68" t="n">
        <x:f>'Premissas'!$B$15</x:f>
        <x:v>50</x:v>
      </x:c>
      <x:c r="J426" s="68" t="n">
        <x:f>'Premissas'!$G$16</x:f>
        <x:v>1</x:v>
      </x:c>
      <x:c r="K426" s="69" t="n">
        <x:f>ROUND(MAX('Premissas'!$B$5,L426-N426),1)</x:f>
        <x:v>200</x:v>
      </x:c>
      <x:c r="L426" s="69" t="n">
        <x:f>ROUND(MAX('Premissas'!$B$5,MIN('Premissas'!$B$6,'Premissas'!$B$5+('Premissas'!$B$6-'Premissas'!$B$5)*(3*H426^2-2*H426^3)+I426*4*H426*(1-H426))),1)</x:f>
        <x:v>200</x:v>
      </x:c>
      <x:c r="M426" s="69" t="n">
        <x:f>ROUND(MIN('Premissas'!$B$6,L426+N426),1)</x:f>
        <x:v>200</x:v>
      </x:c>
      <x:c r="N426" s="69" t="n">
        <x:f>ROUND('Premissas'!$B$7*J426*SQRT(10/F426)*4*H426*(1-H426),1)</x:f>
        <x:v>0</x:v>
      </x:c>
      <x:c r="O426" s="66" t="str">
        <x:v>PROVISÓRIA</x:v>
      </x:c>
    </x:row>
    <x:row r="427">
      <x:c r="A427" s="56" t="str">
        <x:v>Escala comum 7º–9º</x:v>
      </x:c>
      <x:c r="B427" s="56" t="str">
        <x:v>9º ano</x:v>
      </x:c>
      <x:c r="C427" s="56" t="str">
        <x:v>MODELO_9_ANO</x:v>
      </x:c>
      <x:c r="D427" s="56" t="str">
        <x:v>CN</x:v>
      </x:c>
      <x:c r="E427" s="56" t="str">
        <x:v>Ciências da Natureza</x:v>
      </x:c>
      <x:c r="F427" s="56" t="n">
        <x:v>15</x:v>
      </x:c>
      <x:c r="G427" s="56" t="n">
        <x:v>1</x:v>
      </x:c>
      <x:c r="H427" s="70" t="n">
        <x:f>G427/F427</x:f>
        <x:v>0.06666666666666667</x:v>
      </x:c>
      <x:c r="I427" s="59" t="n">
        <x:f>'Premissas'!$B$15</x:f>
        <x:v>50</x:v>
      </x:c>
      <x:c r="J427" s="59" t="n">
        <x:f>'Premissas'!$G$16</x:f>
        <x:v>1</x:v>
      </x:c>
      <x:c r="K427" s="57" t="n">
        <x:f>ROUND(MAX('Premissas'!$B$5,L427-N427),1)</x:f>
        <x:v>202.8</x:v>
      </x:c>
      <x:c r="L427" s="57" t="n">
        <x:f>ROUND(MAX('Premissas'!$B$5,MIN('Premissas'!$B$6,'Premissas'!$B$5+('Premissas'!$B$6-'Premissas'!$B$5)*(3*H427^2-2*H427^3)+I427*4*H427*(1-H427))),1)</x:f>
        <x:v>220.1</x:v>
      </x:c>
      <x:c r="M427" s="57" t="n">
        <x:f>ROUND(MIN('Premissas'!$B$6,L427+N427),1)</x:f>
        <x:v>237.4</x:v>
      </x:c>
      <x:c r="N427" s="57" t="n">
        <x:f>ROUND('Premissas'!$B$7*J427*SQRT(10/F427)*4*H427*(1-H427),1)</x:f>
        <x:v>17.3</x:v>
      </x:c>
      <x:c r="O427" s="56" t="str">
        <x:v>PROVISÓRIA</x:v>
      </x:c>
    </x:row>
    <x:row r="428">
      <x:c r="A428" s="66" t="str">
        <x:v>Escala comum 7º–9º</x:v>
      </x:c>
      <x:c r="B428" s="66" t="str">
        <x:v>9º ano</x:v>
      </x:c>
      <x:c r="C428" s="66" t="str">
        <x:v>MODELO_9_ANO</x:v>
      </x:c>
      <x:c r="D428" s="66" t="str">
        <x:v>CN</x:v>
      </x:c>
      <x:c r="E428" s="66" t="str">
        <x:v>Ciências da Natureza</x:v>
      </x:c>
      <x:c r="F428" s="66" t="n">
        <x:v>15</x:v>
      </x:c>
      <x:c r="G428" s="66" t="n">
        <x:v>2</x:v>
      </x:c>
      <x:c r="H428" s="67" t="n">
        <x:f>G428/F428</x:f>
        <x:v>0.13333333333333333</x:v>
      </x:c>
      <x:c r="I428" s="68" t="n">
        <x:f>'Premissas'!$B$15</x:f>
        <x:v>50</x:v>
      </x:c>
      <x:c r="J428" s="68" t="n">
        <x:f>'Premissas'!$G$16</x:f>
        <x:v>1</x:v>
      </x:c>
      <x:c r="K428" s="69" t="n">
        <x:f>ROUND(MAX('Premissas'!$B$5,L428-N428),1)</x:f>
        <x:v>220.2</x:v>
      </x:c>
      <x:c r="L428" s="69" t="n">
        <x:f>ROUND(MAX('Premissas'!$B$5,MIN('Premissas'!$B$6,'Premissas'!$B$5+('Premissas'!$B$6-'Premissas'!$B$5)*(3*H428^2-2*H428^3)+I428*4*H428*(1-H428))),1)</x:f>
        <x:v>252.3</x:v>
      </x:c>
      <x:c r="M428" s="69" t="n">
        <x:f>ROUND(MIN('Premissas'!$B$6,L428+N428),1)</x:f>
        <x:v>284.4</x:v>
      </x:c>
      <x:c r="N428" s="69" t="n">
        <x:f>ROUND('Premissas'!$B$7*J428*SQRT(10/F428)*4*H428*(1-H428),1)</x:f>
        <x:v>32.1</x:v>
      </x:c>
      <x:c r="O428" s="66" t="str">
        <x:v>PROVISÓRIA</x:v>
      </x:c>
    </x:row>
    <x:row r="429">
      <x:c r="A429" s="56" t="str">
        <x:v>Escala comum 7º–9º</x:v>
      </x:c>
      <x:c r="B429" s="56" t="str">
        <x:v>9º ano</x:v>
      </x:c>
      <x:c r="C429" s="56" t="str">
        <x:v>MODELO_9_ANO</x:v>
      </x:c>
      <x:c r="D429" s="56" t="str">
        <x:v>CN</x:v>
      </x:c>
      <x:c r="E429" s="56" t="str">
        <x:v>Ciências da Natureza</x:v>
      </x:c>
      <x:c r="F429" s="56" t="n">
        <x:v>15</x:v>
      </x:c>
      <x:c r="G429" s="56" t="n">
        <x:v>3</x:v>
      </x:c>
      <x:c r="H429" s="70" t="n">
        <x:f>G429/F429</x:f>
        <x:v>0.2</x:v>
      </x:c>
      <x:c r="I429" s="59" t="n">
        <x:f>'Premissas'!$B$15</x:f>
        <x:v>50</x:v>
      </x:c>
      <x:c r="J429" s="59" t="n">
        <x:f>'Premissas'!$G$16</x:f>
        <x:v>1</x:v>
      </x:c>
      <x:c r="K429" s="57" t="n">
        <x:f>ROUND(MAX('Premissas'!$B$5,L429-N429),1)</x:f>
        <x:v>250</x:v>
      </x:c>
      <x:c r="L429" s="57" t="n">
        <x:f>ROUND(MAX('Premissas'!$B$5,MIN('Premissas'!$B$6,'Premissas'!$B$5+('Premissas'!$B$6-'Premissas'!$B$5)*(3*H429^2-2*H429^3)+I429*4*H429*(1-H429))),1)</x:f>
        <x:v>294.4</x:v>
      </x:c>
      <x:c r="M429" s="57" t="n">
        <x:f>ROUND(MIN('Premissas'!$B$6,L429+N429),1)</x:f>
        <x:v>338.8</x:v>
      </x:c>
      <x:c r="N429" s="57" t="n">
        <x:f>ROUND('Premissas'!$B$7*J429*SQRT(10/F429)*4*H429*(1-H429),1)</x:f>
        <x:v>44.4</x:v>
      </x:c>
      <x:c r="O429" s="56" t="str">
        <x:v>PROVISÓRIA</x:v>
      </x:c>
    </x:row>
    <x:row r="430">
      <x:c r="A430" s="66" t="str">
        <x:v>Escala comum 7º–9º</x:v>
      </x:c>
      <x:c r="B430" s="66" t="str">
        <x:v>9º ano</x:v>
      </x:c>
      <x:c r="C430" s="66" t="str">
        <x:v>MODELO_9_ANO</x:v>
      </x:c>
      <x:c r="D430" s="66" t="str">
        <x:v>CN</x:v>
      </x:c>
      <x:c r="E430" s="66" t="str">
        <x:v>Ciências da Natureza</x:v>
      </x:c>
      <x:c r="F430" s="66" t="n">
        <x:v>15</x:v>
      </x:c>
      <x:c r="G430" s="66" t="n">
        <x:v>4</x:v>
      </x:c>
      <x:c r="H430" s="67" t="n">
        <x:f>G430/F430</x:f>
        <x:v>0.26666666666666666</x:v>
      </x:c>
      <x:c r="I430" s="68" t="n">
        <x:f>'Premissas'!$B$15</x:f>
        <x:v>50</x:v>
      </x:c>
      <x:c r="J430" s="68" t="n">
        <x:f>'Premissas'!$G$16</x:f>
        <x:v>1</x:v>
      </x:c>
      <x:c r="K430" s="69" t="n">
        <x:f>ROUND(MAX('Premissas'!$B$5,L430-N430),1)</x:f>
        <x:v>290.1</x:v>
      </x:c>
      <x:c r="L430" s="69" t="n">
        <x:f>ROUND(MAX('Premissas'!$B$5,MIN('Premissas'!$B$6,'Premissas'!$B$5+('Premissas'!$B$6-'Premissas'!$B$5)*(3*H430^2-2*H430^3)+I430*4*H430*(1-H430))),1)</x:f>
        <x:v>344.4</x:v>
      </x:c>
      <x:c r="M430" s="69" t="n">
        <x:f>ROUND(MIN('Premissas'!$B$6,L430+N430),1)</x:f>
        <x:v>398.7</x:v>
      </x:c>
      <x:c r="N430" s="69" t="n">
        <x:f>ROUND('Premissas'!$B$7*J430*SQRT(10/F430)*4*H430*(1-H430),1)</x:f>
        <x:v>54.3</x:v>
      </x:c>
      <x:c r="O430" s="66" t="str">
        <x:v>PROVISÓRIA</x:v>
      </x:c>
    </x:row>
    <x:row r="431">
      <x:c r="A431" s="56" t="str">
        <x:v>Escala comum 7º–9º</x:v>
      </x:c>
      <x:c r="B431" s="56" t="str">
        <x:v>9º ano</x:v>
      </x:c>
      <x:c r="C431" s="56" t="str">
        <x:v>MODELO_9_ANO</x:v>
      </x:c>
      <x:c r="D431" s="56" t="str">
        <x:v>CN</x:v>
      </x:c>
      <x:c r="E431" s="56" t="str">
        <x:v>Ciências da Natureza</x:v>
      </x:c>
      <x:c r="F431" s="56" t="n">
        <x:v>15</x:v>
      </x:c>
      <x:c r="G431" s="56" t="n">
        <x:v>5</x:v>
      </x:c>
      <x:c r="H431" s="70" t="n">
        <x:f>G431/F431</x:f>
        <x:v>0.3333333333333333</x:v>
      </x:c>
      <x:c r="I431" s="59" t="n">
        <x:f>'Premissas'!$B$15</x:f>
        <x:v>50</x:v>
      </x:c>
      <x:c r="J431" s="59" t="n">
        <x:f>'Premissas'!$G$16</x:f>
        <x:v>1</x:v>
      </x:c>
      <x:c r="K431" s="57" t="n">
        <x:f>ROUND(MAX('Premissas'!$B$5,L431-N431),1)</x:f>
        <x:v>338.3</x:v>
      </x:c>
      <x:c r="L431" s="57" t="n">
        <x:f>ROUND(MAX('Premissas'!$B$5,MIN('Premissas'!$B$6,'Premissas'!$B$5+('Premissas'!$B$6-'Premissas'!$B$5)*(3*H431^2-2*H431^3)+I431*4*H431*(1-H431))),1)</x:f>
        <x:v>400</x:v>
      </x:c>
      <x:c r="M431" s="57" t="n">
        <x:f>ROUND(MIN('Premissas'!$B$6,L431+N431),1)</x:f>
        <x:v>461.7</x:v>
      </x:c>
      <x:c r="N431" s="57" t="n">
        <x:f>ROUND('Premissas'!$B$7*J431*SQRT(10/F431)*4*H431*(1-H431),1)</x:f>
        <x:v>61.7</x:v>
      </x:c>
      <x:c r="O431" s="56" t="str">
        <x:v>PROVISÓRIA</x:v>
      </x:c>
    </x:row>
    <x:row r="432">
      <x:c r="A432" s="66" t="str">
        <x:v>Escala comum 7º–9º</x:v>
      </x:c>
      <x:c r="B432" s="66" t="str">
        <x:v>9º ano</x:v>
      </x:c>
      <x:c r="C432" s="66" t="str">
        <x:v>MODELO_9_ANO</x:v>
      </x:c>
      <x:c r="D432" s="66" t="str">
        <x:v>CN</x:v>
      </x:c>
      <x:c r="E432" s="66" t="str">
        <x:v>Ciências da Natureza</x:v>
      </x:c>
      <x:c r="F432" s="66" t="n">
        <x:v>15</x:v>
      </x:c>
      <x:c r="G432" s="66" t="n">
        <x:v>6</x:v>
      </x:c>
      <x:c r="H432" s="67" t="n">
        <x:f>G432/F432</x:f>
        <x:v>0.4</x:v>
      </x:c>
      <x:c r="I432" s="68" t="n">
        <x:f>'Premissas'!$B$15</x:f>
        <x:v>50</x:v>
      </x:c>
      <x:c r="J432" s="68" t="n">
        <x:f>'Premissas'!$G$16</x:f>
        <x:v>1</x:v>
      </x:c>
      <x:c r="K432" s="69" t="n">
        <x:f>ROUND(MAX('Premissas'!$B$5,L432-N432),1)</x:f>
        <x:v>392.6</x:v>
      </x:c>
      <x:c r="L432" s="69" t="n">
        <x:f>ROUND(MAX('Premissas'!$B$5,MIN('Premissas'!$B$6,'Premissas'!$B$5+('Premissas'!$B$6-'Premissas'!$B$5)*(3*H432^2-2*H432^3)+I432*4*H432*(1-H432))),1)</x:f>
        <x:v>459.2</x:v>
      </x:c>
      <x:c r="M432" s="69" t="n">
        <x:f>ROUND(MIN('Premissas'!$B$6,L432+N432),1)</x:f>
        <x:v>525.8</x:v>
      </x:c>
      <x:c r="N432" s="69" t="n">
        <x:f>ROUND('Premissas'!$B$7*J432*SQRT(10/F432)*4*H432*(1-H432),1)</x:f>
        <x:v>66.6</x:v>
      </x:c>
      <x:c r="O432" s="66" t="str">
        <x:v>PROVISÓRIA</x:v>
      </x:c>
    </x:row>
    <x:row r="433">
      <x:c r="A433" s="56" t="str">
        <x:v>Escala comum 7º–9º</x:v>
      </x:c>
      <x:c r="B433" s="56" t="str">
        <x:v>9º ano</x:v>
      </x:c>
      <x:c r="C433" s="56" t="str">
        <x:v>MODELO_9_ANO</x:v>
      </x:c>
      <x:c r="D433" s="56" t="str">
        <x:v>CN</x:v>
      </x:c>
      <x:c r="E433" s="56" t="str">
        <x:v>Ciências da Natureza</x:v>
      </x:c>
      <x:c r="F433" s="56" t="n">
        <x:v>15</x:v>
      </x:c>
      <x:c r="G433" s="56" t="n">
        <x:v>7</x:v>
      </x:c>
      <x:c r="H433" s="70" t="n">
        <x:f>G433/F433</x:f>
        <x:v>0.4666666666666667</x:v>
      </x:c>
      <x:c r="I433" s="59" t="n">
        <x:f>'Premissas'!$B$15</x:f>
        <x:v>50</x:v>
      </x:c>
      <x:c r="J433" s="59" t="n">
        <x:f>'Premissas'!$G$16</x:f>
        <x:v>1</x:v>
      </x:c>
      <x:c r="K433" s="57" t="n">
        <x:f>ROUND(MAX('Premissas'!$B$5,L433-N433),1)</x:f>
        <x:v>450.7</x:v>
      </x:c>
      <x:c r="L433" s="57" t="n">
        <x:f>ROUND(MAX('Premissas'!$B$5,MIN('Premissas'!$B$6,'Premissas'!$B$5+('Premissas'!$B$6-'Premissas'!$B$5)*(3*H433^2-2*H433^3)+I433*4*H433*(1-H433))),1)</x:f>
        <x:v>519.8</x:v>
      </x:c>
      <x:c r="M433" s="57" t="n">
        <x:f>ROUND(MIN('Premissas'!$B$6,L433+N433),1)</x:f>
        <x:v>588.9</x:v>
      </x:c>
      <x:c r="N433" s="57" t="n">
        <x:f>ROUND('Premissas'!$B$7*J433*SQRT(10/F433)*4*H433*(1-H433),1)</x:f>
        <x:v>69.1</x:v>
      </x:c>
      <x:c r="O433" s="56" t="str">
        <x:v>PROVISÓRIA</x:v>
      </x:c>
    </x:row>
    <x:row r="434">
      <x:c r="A434" s="66" t="str">
        <x:v>Escala comum 7º–9º</x:v>
      </x:c>
      <x:c r="B434" s="66" t="str">
        <x:v>9º ano</x:v>
      </x:c>
      <x:c r="C434" s="66" t="str">
        <x:v>MODELO_9_ANO</x:v>
      </x:c>
      <x:c r="D434" s="66" t="str">
        <x:v>CN</x:v>
      </x:c>
      <x:c r="E434" s="66" t="str">
        <x:v>Ciências da Natureza</x:v>
      </x:c>
      <x:c r="F434" s="66" t="n">
        <x:v>15</x:v>
      </x:c>
      <x:c r="G434" s="66" t="n">
        <x:v>8</x:v>
      </x:c>
      <x:c r="H434" s="67" t="n">
        <x:f>G434/F434</x:f>
        <x:v>0.5333333333333333</x:v>
      </x:c>
      <x:c r="I434" s="68" t="n">
        <x:f>'Premissas'!$B$15</x:f>
        <x:v>50</x:v>
      </x:c>
      <x:c r="J434" s="68" t="n">
        <x:f>'Premissas'!$G$16</x:f>
        <x:v>1</x:v>
      </x:c>
      <x:c r="K434" s="69" t="n">
        <x:f>ROUND(MAX('Premissas'!$B$5,L434-N434),1)</x:f>
        <x:v>510.6</x:v>
      </x:c>
      <x:c r="L434" s="69" t="n">
        <x:f>ROUND(MAX('Premissas'!$B$5,MIN('Premissas'!$B$6,'Premissas'!$B$5+('Premissas'!$B$6-'Premissas'!$B$5)*(3*H434^2-2*H434^3)+I434*4*H434*(1-H434))),1)</x:f>
        <x:v>579.7</x:v>
      </x:c>
      <x:c r="M434" s="69" t="n">
        <x:f>ROUND(MIN('Premissas'!$B$6,L434+N434),1)</x:f>
        <x:v>648.8</x:v>
      </x:c>
      <x:c r="N434" s="69" t="n">
        <x:f>ROUND('Premissas'!$B$7*J434*SQRT(10/F434)*4*H434*(1-H434),1)</x:f>
        <x:v>69.1</x:v>
      </x:c>
      <x:c r="O434" s="66" t="str">
        <x:v>PROVISÓRIA</x:v>
      </x:c>
    </x:row>
    <x:row r="435">
      <x:c r="A435" s="56" t="str">
        <x:v>Escala comum 7º–9º</x:v>
      </x:c>
      <x:c r="B435" s="56" t="str">
        <x:v>9º ano</x:v>
      </x:c>
      <x:c r="C435" s="56" t="str">
        <x:v>MODELO_9_ANO</x:v>
      </x:c>
      <x:c r="D435" s="56" t="str">
        <x:v>CN</x:v>
      </x:c>
      <x:c r="E435" s="56" t="str">
        <x:v>Ciências da Natureza</x:v>
      </x:c>
      <x:c r="F435" s="56" t="n">
        <x:v>15</x:v>
      </x:c>
      <x:c r="G435" s="56" t="n">
        <x:v>9</x:v>
      </x:c>
      <x:c r="H435" s="70" t="n">
        <x:f>G435/F435</x:f>
        <x:v>0.6</x:v>
      </x:c>
      <x:c r="I435" s="59" t="n">
        <x:f>'Premissas'!$B$15</x:f>
        <x:v>50</x:v>
      </x:c>
      <x:c r="J435" s="59" t="n">
        <x:f>'Premissas'!$G$16</x:f>
        <x:v>1</x:v>
      </x:c>
      <x:c r="K435" s="57" t="n">
        <x:f>ROUND(MAX('Premissas'!$B$5,L435-N435),1)</x:f>
        <x:v>570.2</x:v>
      </x:c>
      <x:c r="L435" s="57" t="n">
        <x:f>ROUND(MAX('Premissas'!$B$5,MIN('Premissas'!$B$6,'Premissas'!$B$5+('Premissas'!$B$6-'Premissas'!$B$5)*(3*H435^2-2*H435^3)+I435*4*H435*(1-H435))),1)</x:f>
        <x:v>636.8</x:v>
      </x:c>
      <x:c r="M435" s="57" t="n">
        <x:f>ROUND(MIN('Premissas'!$B$6,L435+N435),1)</x:f>
        <x:v>703.4</x:v>
      </x:c>
      <x:c r="N435" s="57" t="n">
        <x:f>ROUND('Premissas'!$B$7*J435*SQRT(10/F435)*4*H435*(1-H435),1)</x:f>
        <x:v>66.6</x:v>
      </x:c>
      <x:c r="O435" s="56" t="str">
        <x:v>PROVISÓRIA</x:v>
      </x:c>
    </x:row>
    <x:row r="436">
      <x:c r="A436" s="66" t="str">
        <x:v>Escala comum 7º–9º</x:v>
      </x:c>
      <x:c r="B436" s="66" t="str">
        <x:v>9º ano</x:v>
      </x:c>
      <x:c r="C436" s="66" t="str">
        <x:v>MODELO_9_ANO</x:v>
      </x:c>
      <x:c r="D436" s="66" t="str">
        <x:v>CN</x:v>
      </x:c>
      <x:c r="E436" s="66" t="str">
        <x:v>Ciências da Natureza</x:v>
      </x:c>
      <x:c r="F436" s="66" t="n">
        <x:v>15</x:v>
      </x:c>
      <x:c r="G436" s="66" t="n">
        <x:v>10</x:v>
      </x:c>
      <x:c r="H436" s="67" t="n">
        <x:f>G436/F436</x:f>
        <x:v>0.6666666666666666</x:v>
      </x:c>
      <x:c r="I436" s="68" t="n">
        <x:f>'Premissas'!$B$15</x:f>
        <x:v>50</x:v>
      </x:c>
      <x:c r="J436" s="68" t="n">
        <x:f>'Premissas'!$G$16</x:f>
        <x:v>1</x:v>
      </x:c>
      <x:c r="K436" s="69" t="n">
        <x:f>ROUND(MAX('Premissas'!$B$5,L436-N436),1)</x:f>
        <x:v>627.2</x:v>
      </x:c>
      <x:c r="L436" s="69" t="n">
        <x:f>ROUND(MAX('Premissas'!$B$5,MIN('Premissas'!$B$6,'Premissas'!$B$5+('Premissas'!$B$6-'Premissas'!$B$5)*(3*H436^2-2*H436^3)+I436*4*H436*(1-H436))),1)</x:f>
        <x:v>688.9</x:v>
      </x:c>
      <x:c r="M436" s="69" t="n">
        <x:f>ROUND(MIN('Premissas'!$B$6,L436+N436),1)</x:f>
        <x:v>750.6</x:v>
      </x:c>
      <x:c r="N436" s="69" t="n">
        <x:f>ROUND('Premissas'!$B$7*J436*SQRT(10/F436)*4*H436*(1-H436),1)</x:f>
        <x:v>61.7</x:v>
      </x:c>
      <x:c r="O436" s="66" t="str">
        <x:v>PROVISÓRIA</x:v>
      </x:c>
    </x:row>
    <x:row r="437">
      <x:c r="A437" s="56" t="str">
        <x:v>Escala comum 7º–9º</x:v>
      </x:c>
      <x:c r="B437" s="56" t="str">
        <x:v>9º ano</x:v>
      </x:c>
      <x:c r="C437" s="56" t="str">
        <x:v>MODELO_9_ANO</x:v>
      </x:c>
      <x:c r="D437" s="56" t="str">
        <x:v>CN</x:v>
      </x:c>
      <x:c r="E437" s="56" t="str">
        <x:v>Ciências da Natureza</x:v>
      </x:c>
      <x:c r="F437" s="56" t="n">
        <x:v>15</x:v>
      </x:c>
      <x:c r="G437" s="56" t="n">
        <x:v>11</x:v>
      </x:c>
      <x:c r="H437" s="70" t="n">
        <x:f>G437/F437</x:f>
        <x:v>0.7333333333333333</x:v>
      </x:c>
      <x:c r="I437" s="59" t="n">
        <x:f>'Premissas'!$B$15</x:f>
        <x:v>50</x:v>
      </x:c>
      <x:c r="J437" s="59" t="n">
        <x:f>'Premissas'!$G$16</x:f>
        <x:v>1</x:v>
      </x:c>
      <x:c r="K437" s="57" t="n">
        <x:f>ROUND(MAX('Premissas'!$B$5,L437-N437),1)</x:f>
        <x:v>679.6</x:v>
      </x:c>
      <x:c r="L437" s="57" t="n">
        <x:f>ROUND(MAX('Premissas'!$B$5,MIN('Premissas'!$B$6,'Premissas'!$B$5+('Premissas'!$B$6-'Premissas'!$B$5)*(3*H437^2-2*H437^3)+I437*4*H437*(1-H437))),1)</x:f>
        <x:v>733.9</x:v>
      </x:c>
      <x:c r="M437" s="57" t="n">
        <x:f>ROUND(MIN('Premissas'!$B$6,L437+N437),1)</x:f>
        <x:v>788.2</x:v>
      </x:c>
      <x:c r="N437" s="57" t="n">
        <x:f>ROUND('Premissas'!$B$7*J437*SQRT(10/F437)*4*H437*(1-H437),1)</x:f>
        <x:v>54.3</x:v>
      </x:c>
      <x:c r="O437" s="56" t="str">
        <x:v>PROVISÓRIA</x:v>
      </x:c>
    </x:row>
    <x:row r="438">
      <x:c r="A438" s="66" t="str">
        <x:v>Escala comum 7º–9º</x:v>
      </x:c>
      <x:c r="B438" s="66" t="str">
        <x:v>9º ano</x:v>
      </x:c>
      <x:c r="C438" s="66" t="str">
        <x:v>MODELO_9_ANO</x:v>
      </x:c>
      <x:c r="D438" s="66" t="str">
        <x:v>CN</x:v>
      </x:c>
      <x:c r="E438" s="66" t="str">
        <x:v>Ciências da Natureza</x:v>
      </x:c>
      <x:c r="F438" s="66" t="n">
        <x:v>15</x:v>
      </x:c>
      <x:c r="G438" s="66" t="n">
        <x:v>12</x:v>
      </x:c>
      <x:c r="H438" s="67" t="n">
        <x:f>G438/F438</x:f>
        <x:v>0.8</x:v>
      </x:c>
      <x:c r="I438" s="68" t="n">
        <x:f>'Premissas'!$B$15</x:f>
        <x:v>50</x:v>
      </x:c>
      <x:c r="J438" s="68" t="n">
        <x:f>'Premissas'!$G$16</x:f>
        <x:v>1</x:v>
      </x:c>
      <x:c r="K438" s="69" t="n">
        <x:f>ROUND(MAX('Premissas'!$B$5,L438-N438),1)</x:f>
        <x:v>725.2</x:v>
      </x:c>
      <x:c r="L438" s="69" t="n">
        <x:f>ROUND(MAX('Premissas'!$B$5,MIN('Premissas'!$B$6,'Premissas'!$B$5+('Premissas'!$B$6-'Premissas'!$B$5)*(3*H438^2-2*H438^3)+I438*4*H438*(1-H438))),1)</x:f>
        <x:v>769.6</x:v>
      </x:c>
      <x:c r="M438" s="69" t="n">
        <x:f>ROUND(MIN('Premissas'!$B$6,L438+N438),1)</x:f>
        <x:v>800</x:v>
      </x:c>
      <x:c r="N438" s="69" t="n">
        <x:f>ROUND('Premissas'!$B$7*J438*SQRT(10/F438)*4*H438*(1-H438),1)</x:f>
        <x:v>44.4</x:v>
      </x:c>
      <x:c r="O438" s="66" t="str">
        <x:v>PROVISÓRIA</x:v>
      </x:c>
    </x:row>
    <x:row r="439">
      <x:c r="A439" s="56" t="str">
        <x:v>Escala comum 7º–9º</x:v>
      </x:c>
      <x:c r="B439" s="56" t="str">
        <x:v>9º ano</x:v>
      </x:c>
      <x:c r="C439" s="56" t="str">
        <x:v>MODELO_9_ANO</x:v>
      </x:c>
      <x:c r="D439" s="56" t="str">
        <x:v>CN</x:v>
      </x:c>
      <x:c r="E439" s="56" t="str">
        <x:v>Ciências da Natureza</x:v>
      </x:c>
      <x:c r="F439" s="56" t="n">
        <x:v>15</x:v>
      </x:c>
      <x:c r="G439" s="56" t="n">
        <x:v>13</x:v>
      </x:c>
      <x:c r="H439" s="70" t="n">
        <x:f>G439/F439</x:f>
        <x:v>0.8666666666666667</x:v>
      </x:c>
      <x:c r="I439" s="59" t="n">
        <x:f>'Premissas'!$B$15</x:f>
        <x:v>50</x:v>
      </x:c>
      <x:c r="J439" s="59" t="n">
        <x:f>'Premissas'!$G$16</x:f>
        <x:v>1</x:v>
      </x:c>
      <x:c r="K439" s="57" t="n">
        <x:f>ROUND(MAX('Premissas'!$B$5,L439-N439),1)</x:f>
        <x:v>761.9</x:v>
      </x:c>
      <x:c r="L439" s="57" t="n">
        <x:f>ROUND(MAX('Premissas'!$B$5,MIN('Premissas'!$B$6,'Premissas'!$B$5+('Premissas'!$B$6-'Premissas'!$B$5)*(3*H439^2-2*H439^3)+I439*4*H439*(1-H439))),1)</x:f>
        <x:v>794</x:v>
      </x:c>
      <x:c r="M439" s="57" t="n">
        <x:f>ROUND(MIN('Premissas'!$B$6,L439+N439),1)</x:f>
        <x:v>800</x:v>
      </x:c>
      <x:c r="N439" s="57" t="n">
        <x:f>ROUND('Premissas'!$B$7*J439*SQRT(10/F439)*4*H439*(1-H439),1)</x:f>
        <x:v>32.1</x:v>
      </x:c>
      <x:c r="O439" s="56" t="str">
        <x:v>PROVISÓRIA</x:v>
      </x:c>
    </x:row>
    <x:row r="440">
      <x:c r="A440" s="66" t="str">
        <x:v>Escala comum 7º–9º</x:v>
      </x:c>
      <x:c r="B440" s="66" t="str">
        <x:v>9º ano</x:v>
      </x:c>
      <x:c r="C440" s="66" t="str">
        <x:v>MODELO_9_ANO</x:v>
      </x:c>
      <x:c r="D440" s="66" t="str">
        <x:v>CN</x:v>
      </x:c>
      <x:c r="E440" s="66" t="str">
        <x:v>Ciências da Natureza</x:v>
      </x:c>
      <x:c r="F440" s="66" t="n">
        <x:v>15</x:v>
      </x:c>
      <x:c r="G440" s="66" t="n">
        <x:v>14</x:v>
      </x:c>
      <x:c r="H440" s="67" t="n">
        <x:f>G440/F440</x:f>
        <x:v>0.9333333333333333</x:v>
      </x:c>
      <x:c r="I440" s="68" t="n">
        <x:f>'Premissas'!$B$15</x:f>
        <x:v>50</x:v>
      </x:c>
      <x:c r="J440" s="68" t="n">
        <x:f>'Premissas'!$G$16</x:f>
        <x:v>1</x:v>
      </x:c>
      <x:c r="K440" s="69" t="n">
        <x:f>ROUND(MAX('Premissas'!$B$5,L440-N440),1)</x:f>
        <x:v>782.7</x:v>
      </x:c>
      <x:c r="L440" s="69" t="n">
        <x:f>ROUND(MAX('Premissas'!$B$5,MIN('Premissas'!$B$6,'Premissas'!$B$5+('Premissas'!$B$6-'Premissas'!$B$5)*(3*H440^2-2*H440^3)+I440*4*H440*(1-H440))),1)</x:f>
        <x:v>800</x:v>
      </x:c>
      <x:c r="M440" s="69" t="n">
        <x:f>ROUND(MIN('Premissas'!$B$6,L440+N440),1)</x:f>
        <x:v>800</x:v>
      </x:c>
      <x:c r="N440" s="69" t="n">
        <x:f>ROUND('Premissas'!$B$7*J440*SQRT(10/F440)*4*H440*(1-H440),1)</x:f>
        <x:v>17.3</x:v>
      </x:c>
      <x:c r="O440" s="66" t="str">
        <x:v>PROVISÓRIA</x:v>
      </x:c>
    </x:row>
    <x:row r="441">
      <x:c r="A441" s="56" t="str">
        <x:v>Escala comum 7º–9º</x:v>
      </x:c>
      <x:c r="B441" s="56" t="str">
        <x:v>9º ano</x:v>
      </x:c>
      <x:c r="C441" s="56" t="str">
        <x:v>MODELO_9_ANO</x:v>
      </x:c>
      <x:c r="D441" s="56" t="str">
        <x:v>CN</x:v>
      </x:c>
      <x:c r="E441" s="56" t="str">
        <x:v>Ciências da Natureza</x:v>
      </x:c>
      <x:c r="F441" s="56" t="n">
        <x:v>15</x:v>
      </x:c>
      <x:c r="G441" s="56" t="n">
        <x:v>15</x:v>
      </x:c>
      <x:c r="H441" s="70" t="n">
        <x:f>G441/F441</x:f>
        <x:v>1</x:v>
      </x:c>
      <x:c r="I441" s="59" t="n">
        <x:f>'Premissas'!$B$15</x:f>
        <x:v>50</x:v>
      </x:c>
      <x:c r="J441" s="59" t="n">
        <x:f>'Premissas'!$G$16</x:f>
        <x:v>1</x:v>
      </x:c>
      <x:c r="K441" s="57" t="n">
        <x:f>ROUND(MAX('Premissas'!$B$5,L441-N441),1)</x:f>
        <x:v>800</x:v>
      </x:c>
      <x:c r="L441" s="57" t="n">
        <x:f>ROUND(MAX('Premissas'!$B$5,MIN('Premissas'!$B$6,'Premissas'!$B$5+('Premissas'!$B$6-'Premissas'!$B$5)*(3*H441^2-2*H441^3)+I441*4*H441*(1-H441))),1)</x:f>
        <x:v>800</x:v>
      </x:c>
      <x:c r="M441" s="57" t="n">
        <x:f>ROUND(MIN('Premissas'!$B$6,L441+N441),1)</x:f>
        <x:v>800</x:v>
      </x:c>
      <x:c r="N441" s="57" t="n">
        <x:f>ROUND('Premissas'!$B$7*J441*SQRT(10/F441)*4*H441*(1-H441),1)</x:f>
        <x:v>0</x:v>
      </x:c>
      <x:c r="O441" s="56" t="str">
        <x:v>PROVISÓRIA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7" max="7" width="9" hidden="0" customWidth="1"/>
    <x:col min="8" max="8" width="10" hidden="0" customWidth="1"/>
    <x:col min="9" max="9" width="12" hidden="0" customWidth="1"/>
    <x:col min="10" max="10" width="12" hidden="0" customWidth="1"/>
    <x:col min="11" max="11" width="12" hidden="0" customWidth="1"/>
    <x:col min="13" max="13" width="9" hidden="0" customWidth="1"/>
    <x:col min="14" max="14" width="10" hidden="0" customWidth="1"/>
    <x:col min="15" max="15" width="12" hidden="0" customWidth="1"/>
    <x:col min="16" max="16" width="12" hidden="0" customWidth="1"/>
    <x:col min="17" max="17" width="12" hidden="0" customWidth="1"/>
    <x:col min="19" max="19" width="9" hidden="0" customWidth="1"/>
    <x:col min="20" max="20" width="10" hidden="0" customWidth="1"/>
    <x:col min="21" max="21" width="12" hidden="0" customWidth="1"/>
    <x:col min="22" max="22" width="12" hidden="0" customWidth="1"/>
    <x:col min="23" max="23" width="12" hidden="0" customWidth="1"/>
    <x:col min="25" max="25" width="9" hidden="0" customWidth="1"/>
    <x:col min="26" max="26" width="10" hidden="0" customWidth="1"/>
    <x:col min="27" max="27" width="12" hidden="0" customWidth="1"/>
    <x:col min="28" max="28" width="12" hidden="0" customWidth="1"/>
    <x:col min="29" max="29" width="12" hidden="0" customWidth="1"/>
    <x:col min="6" max="6" width="2.5" hidden="0" customWidth="1"/>
    <x:col min="12" max="12" width="2.5" hidden="0" customWidth="1"/>
    <x:col min="18" max="18" width="2.5" hidden="0" customWidth="1"/>
    <x:col min="24" max="24" width="2.5" hidden="0" customWidth="1"/>
  </x:cols>
  <x:sheetData>
    <x:row r="1" ht="32" customHeight="1">
      <x:c r="A1" s="49" t="str">
        <x:v>TABELA DE REFERÊNCIA PROVISÓRIA — 6º ANO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  <x:c r="P1" s="49"/>
      <x:c r="Q1" s="49"/>
      <x:c r="R1" s="49"/>
      <x:c r="S1" s="49"/>
      <x:c r="T1" s="49"/>
      <x:c r="U1" s="49"/>
      <x:c r="V1" s="49"/>
      <x:c r="W1" s="49"/>
      <x:c r="X1" s="49"/>
      <x:c r="Y1" s="49"/>
      <x:c r="Z1" s="49"/>
      <x:c r="AA1" s="49"/>
      <x:c r="AB1" s="49"/>
      <x:c r="AC1" s="49"/>
    </x:row>
    <x:row r="2">
      <x:c r="A2" s="93" t="str">
        <x:v>Escala própria do 6º ano | valores possíveis por quantidade de acertos</x:v>
      </x:c>
      <x:c r="B2" s="93"/>
      <x:c r="C2" s="93"/>
      <x:c r="D2" s="93"/>
      <x:c r="E2" s="93"/>
      <x:c r="F2" s="93"/>
      <x:c r="G2" s="93"/>
      <x:c r="H2" s="93"/>
      <x:c r="I2" s="93"/>
      <x:c r="J2" s="93"/>
      <x:c r="K2" s="93"/>
      <x:c r="L2" s="93"/>
      <x:c r="M2" s="93"/>
      <x:c r="N2" s="93"/>
      <x:c r="O2" s="93"/>
      <x:c r="P2" s="93"/>
      <x:c r="Q2" s="93"/>
      <x:c r="R2" s="93"/>
      <x:c r="S2" s="93"/>
      <x:c r="T2" s="93"/>
      <x:c r="U2" s="93"/>
      <x:c r="V2" s="93"/>
      <x:c r="W2" s="93"/>
      <x:c r="X2" s="93"/>
      <x:c r="Y2" s="93"/>
      <x:c r="Z2" s="93"/>
      <x:c r="AA2" s="93"/>
      <x:c r="AB2" s="93"/>
      <x:c r="AC2" s="93"/>
    </x:row>
    <x:row r="3">
      <x:c r="A3" s="54" t="str">
        <x:v>GERAL — GERAL (TOTAL BRUTO) (50 ITENS)</x:v>
      </x:c>
      <x:c r="B3" s="54"/>
      <x:c r="C3" s="54"/>
      <x:c r="D3" s="54"/>
      <x:c r="E3" s="54"/>
      <x:c r="F3" s="53"/>
      <x:c r="G3" s="54" t="str">
        <x:v>LC — LINGUAGENS (20 ITENS)</x:v>
      </x:c>
      <x:c r="H3" s="54"/>
      <x:c r="I3" s="54"/>
      <x:c r="J3" s="54"/>
      <x:c r="K3" s="54"/>
      <x:c r="L3" s="53"/>
      <x:c r="M3" s="54" t="str">
        <x:v>MT — MATEMÁTICA (10 ITENS)</x:v>
      </x:c>
      <x:c r="N3" s="54"/>
      <x:c r="O3" s="54"/>
      <x:c r="P3" s="54"/>
      <x:c r="Q3" s="54"/>
      <x:c r="R3" s="53"/>
      <x:c r="S3" s="54" t="str">
        <x:v>CH — CIÊNCIAS HUMANAS (15 ITENS)</x:v>
      </x:c>
      <x:c r="T3" s="54"/>
      <x:c r="U3" s="54"/>
      <x:c r="V3" s="54"/>
      <x:c r="W3" s="54"/>
      <x:c r="X3" s="53"/>
      <x:c r="Y3" s="54" t="str">
        <x:v>CN — CIÊNCIAS DA NATUREZA (5 ITENS)</x:v>
      </x:c>
      <x:c r="Z3" s="54"/>
      <x:c r="AA3" s="54"/>
      <x:c r="AB3" s="54"/>
      <x:c r="AC3" s="54"/>
    </x:row>
    <x:row r="4">
      <x:c r="A4" s="94" t="str">
        <x:v>Área</x:v>
      </x:c>
      <x:c r="B4" s="94" t="str">
        <x:v>Acertos</x:v>
      </x:c>
      <x:c r="C4" s="94" t="str">
        <x:v>Mínimo</x:v>
      </x:c>
      <x:c r="D4" s="94" t="str">
        <x:v>Mediana</x:v>
      </x:c>
      <x:c r="E4" s="94" t="str">
        <x:v>Máximo</x:v>
      </x:c>
      <x:c r="F4" s="53"/>
      <x:c r="G4" s="94" t="str">
        <x:v>Área</x:v>
      </x:c>
      <x:c r="H4" s="94" t="str">
        <x:v>Acertos</x:v>
      </x:c>
      <x:c r="I4" s="94" t="str">
        <x:v>Mínimo</x:v>
      </x:c>
      <x:c r="J4" s="94" t="str">
        <x:v>Mediana</x:v>
      </x:c>
      <x:c r="K4" s="94" t="str">
        <x:v>Máximo</x:v>
      </x:c>
      <x:c r="L4" s="53"/>
      <x:c r="M4" s="94" t="str">
        <x:v>Área</x:v>
      </x:c>
      <x:c r="N4" s="94" t="str">
        <x:v>Acertos</x:v>
      </x:c>
      <x:c r="O4" s="94" t="str">
        <x:v>Mínimo</x:v>
      </x:c>
      <x:c r="P4" s="94" t="str">
        <x:v>Mediana</x:v>
      </x:c>
      <x:c r="Q4" s="94" t="str">
        <x:v>Máximo</x:v>
      </x:c>
      <x:c r="R4" s="53"/>
      <x:c r="S4" s="94" t="str">
        <x:v>Área</x:v>
      </x:c>
      <x:c r="T4" s="94" t="str">
        <x:v>Acertos</x:v>
      </x:c>
      <x:c r="U4" s="94" t="str">
        <x:v>Mínimo</x:v>
      </x:c>
      <x:c r="V4" s="94" t="str">
        <x:v>Mediana</x:v>
      </x:c>
      <x:c r="W4" s="94" t="str">
        <x:v>Máximo</x:v>
      </x:c>
      <x:c r="X4" s="53"/>
      <x:c r="Y4" s="94" t="str">
        <x:v>Área</x:v>
      </x:c>
      <x:c r="Z4" s="94" t="str">
        <x:v>Acertos</x:v>
      </x:c>
      <x:c r="AA4" s="94" t="str">
        <x:v>Mínimo</x:v>
      </x:c>
      <x:c r="AB4" s="94" t="str">
        <x:v>Mediana</x:v>
      </x:c>
      <x:c r="AC4" s="94" t="str">
        <x:v>Máximo</x:v>
      </x:c>
    </x:row>
    <x:row r="5">
      <x:c r="A5" s="56" t="str">
        <x:v>GERAL</x:v>
      </x:c>
      <x:c r="B5" s="95" t="n">
        <x:f>'Base longa'!G2</x:f>
        <x:v>0</x:v>
      </x:c>
      <x:c r="C5" s="57" t="n">
        <x:f>'Base longa'!K2</x:f>
        <x:v>200</x:v>
      </x:c>
      <x:c r="D5" s="57" t="n">
        <x:f>'Base longa'!L2</x:f>
        <x:v>200</x:v>
      </x:c>
      <x:c r="E5" s="57" t="n">
        <x:f>'Base longa'!M2</x:f>
        <x:v>200</x:v>
      </x:c>
      <x:c r="F5" s="53"/>
      <x:c r="G5" s="56" t="str">
        <x:v>LC</x:v>
      </x:c>
      <x:c r="H5" s="95" t="n">
        <x:f>'Base longa'!G53</x:f>
        <x:v>0</x:v>
      </x:c>
      <x:c r="I5" s="57" t="n">
        <x:f>'Base longa'!K53</x:f>
        <x:v>200</x:v>
      </x:c>
      <x:c r="J5" s="57" t="n">
        <x:f>'Base longa'!L53</x:f>
        <x:v>200</x:v>
      </x:c>
      <x:c r="K5" s="57" t="n">
        <x:f>'Base longa'!M53</x:f>
        <x:v>200</x:v>
      </x:c>
      <x:c r="L5" s="53"/>
      <x:c r="M5" s="56" t="str">
        <x:v>MT</x:v>
      </x:c>
      <x:c r="N5" s="95" t="n">
        <x:f>'Base longa'!G74</x:f>
        <x:v>0</x:v>
      </x:c>
      <x:c r="O5" s="57" t="n">
        <x:f>'Base longa'!K74</x:f>
        <x:v>200</x:v>
      </x:c>
      <x:c r="P5" s="57" t="n">
        <x:f>'Base longa'!L74</x:f>
        <x:v>200</x:v>
      </x:c>
      <x:c r="Q5" s="57" t="n">
        <x:f>'Base longa'!M74</x:f>
        <x:v>200</x:v>
      </x:c>
      <x:c r="R5" s="53"/>
      <x:c r="S5" s="56" t="str">
        <x:v>CH</x:v>
      </x:c>
      <x:c r="T5" s="95" t="n">
        <x:f>'Base longa'!G85</x:f>
        <x:v>0</x:v>
      </x:c>
      <x:c r="U5" s="57" t="n">
        <x:f>'Base longa'!K85</x:f>
        <x:v>200</x:v>
      </x:c>
      <x:c r="V5" s="57" t="n">
        <x:f>'Base longa'!L85</x:f>
        <x:v>200</x:v>
      </x:c>
      <x:c r="W5" s="57" t="n">
        <x:f>'Base longa'!M85</x:f>
        <x:v>200</x:v>
      </x:c>
      <x:c r="X5" s="53"/>
      <x:c r="Y5" s="56" t="str">
        <x:v>CN</x:v>
      </x:c>
      <x:c r="Z5" s="95" t="n">
        <x:f>'Base longa'!G101</x:f>
        <x:v>0</x:v>
      </x:c>
      <x:c r="AA5" s="57" t="n">
        <x:f>'Base longa'!K101</x:f>
        <x:v>200</x:v>
      </x:c>
      <x:c r="AB5" s="57" t="n">
        <x:f>'Base longa'!L101</x:f>
        <x:v>200</x:v>
      </x:c>
      <x:c r="AC5" s="57" t="n">
        <x:f>'Base longa'!M101</x:f>
        <x:v>200</x:v>
      </x:c>
    </x:row>
    <x:row r="6">
      <x:c r="A6" s="66" t="str">
        <x:v>GERAL</x:v>
      </x:c>
      <x:c r="B6" s="96" t="n">
        <x:f>'Base longa'!G3</x:f>
        <x:v>1</x:v>
      </x:c>
      <x:c r="C6" s="69" t="n">
        <x:f>'Base longa'!K3</x:f>
        <x:v>200</x:v>
      </x:c>
      <x:c r="D6" s="69" t="n">
        <x:f>'Base longa'!L3</x:f>
        <x:v>200.7</x:v>
      </x:c>
      <x:c r="E6" s="69" t="n">
        <x:f>'Base longa'!M3</x:f>
        <x:v>203.7</x:v>
      </x:c>
      <x:c r="F6" s="53"/>
      <x:c r="G6" s="66" t="str">
        <x:v>LC</x:v>
      </x:c>
      <x:c r="H6" s="96" t="n">
        <x:f>'Base longa'!G54</x:f>
        <x:v>1</x:v>
      </x:c>
      <x:c r="I6" s="69" t="n">
        <x:f>'Base longa'!K54</x:f>
        <x:v>200</x:v>
      </x:c>
      <x:c r="J6" s="69" t="n">
        <x:f>'Base longa'!L54</x:f>
        <x:v>204.4</x:v>
      </x:c>
      <x:c r="K6" s="69" t="n">
        <x:f>'Base longa'!M54</x:f>
        <x:v>215.8</x:v>
      </x:c>
      <x:c r="L6" s="53"/>
      <x:c r="M6" s="66" t="str">
        <x:v>MT</x:v>
      </x:c>
      <x:c r="N6" s="96" t="n">
        <x:f>'Base longa'!G75</x:f>
        <x:v>1</x:v>
      </x:c>
      <x:c r="O6" s="69" t="n">
        <x:f>'Base longa'!K75</x:f>
        <x:v>200</x:v>
      </x:c>
      <x:c r="P6" s="69" t="n">
        <x:f>'Base longa'!L75</x:f>
        <x:v>216.8</x:v>
      </x:c>
      <x:c r="Q6" s="69" t="n">
        <x:f>'Base longa'!M75</x:f>
        <x:v>247.4</x:v>
      </x:c>
      <x:c r="R6" s="53"/>
      <x:c r="S6" s="66" t="str">
        <x:v>CH</x:v>
      </x:c>
      <x:c r="T6" s="96" t="n">
        <x:f>'Base longa'!G86</x:f>
        <x:v>1</x:v>
      </x:c>
      <x:c r="U6" s="69" t="n">
        <x:f>'Base longa'!K86</x:f>
        <x:v>200</x:v>
      </x:c>
      <x:c r="V6" s="69" t="n">
        <x:f>'Base longa'!L86</x:f>
        <x:v>207.6</x:v>
      </x:c>
      <x:c r="W6" s="69" t="n">
        <x:f>'Base longa'!M86</x:f>
        <x:v>224.9</x:v>
      </x:c>
      <x:c r="X6" s="53"/>
      <x:c r="Y6" s="66" t="str">
        <x:v>CN</x:v>
      </x:c>
      <x:c r="Z6" s="96" t="n">
        <x:f>'Base longa'!G102</x:f>
        <x:v>1</x:v>
      </x:c>
      <x:c r="AA6" s="69" t="n">
        <x:f>'Base longa'!K102</x:f>
        <x:v>200</x:v>
      </x:c>
      <x:c r="AB6" s="69" t="n">
        <x:f>'Base longa'!L102</x:f>
        <x:v>262.4</x:v>
      </x:c>
      <x:c r="AC6" s="69" t="n">
        <x:f>'Base longa'!M102</x:f>
        <x:v>339.3</x:v>
      </x:c>
    </x:row>
    <x:row r="7">
      <x:c r="A7" s="56" t="str">
        <x:v>GERAL</x:v>
      </x:c>
      <x:c r="B7" s="95" t="n">
        <x:f>'Base longa'!G4</x:f>
        <x:v>2</x:v>
      </x:c>
      <x:c r="C7" s="57" t="n">
        <x:f>'Base longa'!K4</x:f>
        <x:v>200</x:v>
      </x:c>
      <x:c r="D7" s="57" t="n">
        <x:f>'Base longa'!L4</x:f>
        <x:v>202.8</x:v>
      </x:c>
      <x:c r="E7" s="57" t="n">
        <x:f>'Base longa'!M4</x:f>
        <x:v>208.6</x:v>
      </x:c>
      <x:c r="F7" s="53"/>
      <x:c r="G7" s="56" t="str">
        <x:v>LC</x:v>
      </x:c>
      <x:c r="H7" s="95" t="n">
        <x:f>'Base longa'!G55</x:f>
        <x:v>2</x:v>
      </x:c>
      <x:c r="I7" s="57" t="n">
        <x:f>'Base longa'!K55</x:f>
        <x:v>200</x:v>
      </x:c>
      <x:c r="J7" s="57" t="n">
        <x:f>'Base longa'!L55</x:f>
        <x:v>216.8</x:v>
      </x:c>
      <x:c r="K7" s="57" t="n">
        <x:f>'Base longa'!M55</x:f>
        <x:v>238.4</x:v>
      </x:c>
      <x:c r="L7" s="53"/>
      <x:c r="M7" s="56" t="str">
        <x:v>MT</x:v>
      </x:c>
      <x:c r="N7" s="95" t="n">
        <x:f>'Base longa'!G76</x:f>
        <x:v>2</x:v>
      </x:c>
      <x:c r="O7" s="57" t="n">
        <x:f>'Base longa'!K76</x:f>
        <x:v>208</x:v>
      </x:c>
      <x:c r="P7" s="57" t="n">
        <x:f>'Base longa'!L76</x:f>
        <x:v>262.4</x:v>
      </x:c>
      <x:c r="Q7" s="57" t="n">
        <x:f>'Base longa'!M76</x:f>
        <x:v>316.8</x:v>
      </x:c>
      <x:c r="R7" s="53"/>
      <x:c r="S7" s="56" t="str">
        <x:v>CH</x:v>
      </x:c>
      <x:c r="T7" s="95" t="n">
        <x:f>'Base longa'!G87</x:f>
        <x:v>2</x:v>
      </x:c>
      <x:c r="U7" s="57" t="n">
        <x:f>'Base longa'!K87</x:f>
        <x:v>200</x:v>
      </x:c>
      <x:c r="V7" s="57" t="n">
        <x:f>'Base longa'!L87</x:f>
        <x:v>229.2</x:v>
      </x:c>
      <x:c r="W7" s="57" t="n">
        <x:f>'Base longa'!M87</x:f>
        <x:v>261.3</x:v>
      </x:c>
      <x:c r="X7" s="53"/>
      <x:c r="Y7" s="56" t="str">
        <x:v>CN</x:v>
      </x:c>
      <x:c r="Z7" s="95" t="n">
        <x:f>'Base longa'!G103</x:f>
        <x:v>2</x:v>
      </x:c>
      <x:c r="AA7" s="57" t="n">
        <x:f>'Base longa'!K103</x:f>
        <x:v>295.8</x:v>
      </x:c>
      <x:c r="AB7" s="57" t="n">
        <x:f>'Base longa'!L103</x:f>
        <x:v>411.2</x:v>
      </x:c>
      <x:c r="AC7" s="57" t="n">
        <x:f>'Base longa'!M103</x:f>
        <x:v>526.6</x:v>
      </x:c>
    </x:row>
    <x:row r="8">
      <x:c r="A8" s="66" t="str">
        <x:v>GERAL</x:v>
      </x:c>
      <x:c r="B8" s="96" t="n">
        <x:f>'Base longa'!G5</x:f>
        <x:v>3</x:v>
      </x:c>
      <x:c r="C8" s="69" t="n">
        <x:f>'Base longa'!K5</x:f>
        <x:v>200</x:v>
      </x:c>
      <x:c r="D8" s="69" t="n">
        <x:f>'Base longa'!L5</x:f>
        <x:v>206.2</x:v>
      </x:c>
      <x:c r="E8" s="69" t="n">
        <x:f>'Base longa'!M5</x:f>
        <x:v>214.8</x:v>
      </x:c>
      <x:c r="F8" s="53"/>
      <x:c r="G8" s="66" t="str">
        <x:v>LC</x:v>
      </x:c>
      <x:c r="H8" s="96" t="n">
        <x:f>'Base longa'!G56</x:f>
        <x:v>3</x:v>
      </x:c>
      <x:c r="I8" s="69" t="n">
        <x:f>'Base longa'!K56</x:f>
        <x:v>205.8</x:v>
      </x:c>
      <x:c r="J8" s="69" t="n">
        <x:f>'Base longa'!L56</x:f>
        <x:v>236.5</x:v>
      </x:c>
      <x:c r="K8" s="69" t="n">
        <x:f>'Base longa'!M56</x:f>
        <x:v>267.2</x:v>
      </x:c>
      <x:c r="L8" s="53"/>
      <x:c r="M8" s="66" t="str">
        <x:v>MT</x:v>
      </x:c>
      <x:c r="N8" s="96" t="n">
        <x:f>'Base longa'!G77</x:f>
        <x:v>3</x:v>
      </x:c>
      <x:c r="O8" s="69" t="n">
        <x:f>'Base longa'!K77</x:f>
        <x:v>258.2</x:v>
      </x:c>
      <x:c r="P8" s="69" t="n">
        <x:f>'Base longa'!L77</x:f>
        <x:v>329.6</x:v>
      </x:c>
      <x:c r="Q8" s="69" t="n">
        <x:f>'Base longa'!M77</x:f>
        <x:v>401</x:v>
      </x:c>
      <x:c r="R8" s="53"/>
      <x:c r="S8" s="66" t="str">
        <x:v>CH</x:v>
      </x:c>
      <x:c r="T8" s="96" t="n">
        <x:f>'Base longa'!G88</x:f>
        <x:v>3</x:v>
      </x:c>
      <x:c r="U8" s="69" t="n">
        <x:f>'Base longa'!K88</x:f>
        <x:v>218</x:v>
      </x:c>
      <x:c r="V8" s="69" t="n">
        <x:f>'Base longa'!L88</x:f>
        <x:v>262.4</x:v>
      </x:c>
      <x:c r="W8" s="69" t="n">
        <x:f>'Base longa'!M88</x:f>
        <x:v>306.8</x:v>
      </x:c>
      <x:c r="X8" s="53"/>
      <x:c r="Y8" s="66" t="str">
        <x:v>CN</x:v>
      </x:c>
      <x:c r="Z8" s="96" t="n">
        <x:f>'Base longa'!G104</x:f>
        <x:v>3</x:v>
      </x:c>
      <x:c r="AA8" s="69" t="n">
        <x:f>'Base longa'!K104</x:f>
        <x:v>473.4</x:v>
      </x:c>
      <x:c r="AB8" s="69" t="n">
        <x:f>'Base longa'!L104</x:f>
        <x:v>588.8</x:v>
      </x:c>
      <x:c r="AC8" s="69" t="n">
        <x:f>'Base longa'!M104</x:f>
        <x:v>704.2</x:v>
      </x:c>
    </x:row>
    <x:row r="9">
      <x:c r="A9" s="56" t="str">
        <x:v>GERAL</x:v>
      </x:c>
      <x:c r="B9" s="95" t="n">
        <x:f>'Base longa'!G6</x:f>
        <x:v>4</x:v>
      </x:c>
      <x:c r="C9" s="57" t="n">
        <x:f>'Base longa'!K6</x:f>
        <x:v>200</x:v>
      </x:c>
      <x:c r="D9" s="57" t="n">
        <x:f>'Base longa'!L6</x:f>
        <x:v>210.9</x:v>
      </x:c>
      <x:c r="E9" s="57" t="n">
        <x:f>'Base longa'!M6</x:f>
        <x:v>222.1</x:v>
      </x:c>
      <x:c r="F9" s="53"/>
      <x:c r="G9" s="56" t="str">
        <x:v>LC</x:v>
      </x:c>
      <x:c r="H9" s="95" t="n">
        <x:f>'Base longa'!G57</x:f>
        <x:v>4</x:v>
      </x:c>
      <x:c r="I9" s="57" t="n">
        <x:f>'Base longa'!K57</x:f>
        <x:v>223.9</x:v>
      </x:c>
      <x:c r="J9" s="57" t="n">
        <x:f>'Base longa'!L57</x:f>
        <x:v>262.4</x:v>
      </x:c>
      <x:c r="K9" s="57" t="n">
        <x:f>'Base longa'!M57</x:f>
        <x:v>300.9</x:v>
      </x:c>
      <x:c r="L9" s="53"/>
      <x:c r="M9" s="56" t="str">
        <x:v>MT</x:v>
      </x:c>
      <x:c r="N9" s="95" t="n">
        <x:f>'Base longa'!G78</x:f>
        <x:v>4</x:v>
      </x:c>
      <x:c r="O9" s="57" t="n">
        <x:f>'Base longa'!K78</x:f>
        <x:v>329.6</x:v>
      </x:c>
      <x:c r="P9" s="57" t="n">
        <x:f>'Base longa'!L78</x:f>
        <x:v>411.2</x:v>
      </x:c>
      <x:c r="Q9" s="57" t="n">
        <x:f>'Base longa'!M78</x:f>
        <x:v>492.8</x:v>
      </x:c>
      <x:c r="R9" s="53"/>
      <x:c r="S9" s="56" t="str">
        <x:v>CH</x:v>
      </x:c>
      <x:c r="T9" s="95" t="n">
        <x:f>'Base longa'!G89</x:f>
        <x:v>4</x:v>
      </x:c>
      <x:c r="U9" s="57" t="n">
        <x:f>'Base longa'!K89</x:f>
        <x:v>250.9</x:v>
      </x:c>
      <x:c r="V9" s="57" t="n">
        <x:f>'Base longa'!L89</x:f>
        <x:v>305.2</x:v>
      </x:c>
      <x:c r="W9" s="57" t="n">
        <x:f>'Base longa'!M89</x:f>
        <x:v>359.5</x:v>
      </x:c>
      <x:c r="X9" s="53"/>
      <x:c r="Y9" s="56" t="str">
        <x:v>CN</x:v>
      </x:c>
      <x:c r="Z9" s="95" t="n">
        <x:f>'Base longa'!G105</x:f>
        <x:v>4</x:v>
      </x:c>
      <x:c r="AA9" s="57" t="n">
        <x:f>'Base longa'!K105</x:f>
        <x:v>660.7</x:v>
      </x:c>
      <x:c r="AB9" s="57" t="n">
        <x:f>'Base longa'!L105</x:f>
        <x:v>737.6</x:v>
      </x:c>
      <x:c r="AC9" s="57" t="n">
        <x:f>'Base longa'!M105</x:f>
        <x:v>800</x:v>
      </x:c>
    </x:row>
    <x:row r="10">
      <x:c r="A10" s="66" t="str">
        <x:v>GERAL</x:v>
      </x:c>
      <x:c r="B10" s="96" t="n">
        <x:f>'Base longa'!G7</x:f>
        <x:v>5</x:v>
      </x:c>
      <x:c r="C10" s="69" t="n">
        <x:f>'Base longa'!K7</x:f>
        <x:v>203.1</x:v>
      </x:c>
      <x:c r="D10" s="69" t="n">
        <x:f>'Base longa'!L7</x:f>
        <x:v>216.8</x:v>
      </x:c>
      <x:c r="E10" s="69" t="n">
        <x:f>'Base longa'!M7</x:f>
        <x:v>230.5</x:v>
      </x:c>
      <x:c r="F10" s="53"/>
      <x:c r="G10" s="66" t="str">
        <x:v>LC</x:v>
      </x:c>
      <x:c r="H10" s="96" t="n">
        <x:f>'Base longa'!G58</x:f>
        <x:v>5</x:v>
      </x:c>
      <x:c r="I10" s="69" t="n">
        <x:f>'Base longa'!K58</x:f>
        <x:v>248.7</x:v>
      </x:c>
      <x:c r="J10" s="69" t="n">
        <x:f>'Base longa'!L58</x:f>
        <x:v>293.8</x:v>
      </x:c>
      <x:c r="K10" s="69" t="n">
        <x:f>'Base longa'!M58</x:f>
        <x:v>338.9</x:v>
      </x:c>
      <x:c r="L10" s="53"/>
      <x:c r="M10" s="66" t="str">
        <x:v>MT</x:v>
      </x:c>
      <x:c r="N10" s="96" t="n">
        <x:f>'Base longa'!G79</x:f>
        <x:v>5</x:v>
      </x:c>
      <x:c r="O10" s="69" t="n">
        <x:f>'Base longa'!K79</x:f>
        <x:v>415</x:v>
      </x:c>
      <x:c r="P10" s="69" t="n">
        <x:f>'Base longa'!L79</x:f>
        <x:v>500</x:v>
      </x:c>
      <x:c r="Q10" s="69" t="n">
        <x:f>'Base longa'!M79</x:f>
        <x:v>585</x:v>
      </x:c>
      <x:c r="R10" s="53"/>
      <x:c r="S10" s="66" t="str">
        <x:v>CH</x:v>
      </x:c>
      <x:c r="T10" s="96" t="n">
        <x:f>'Base longa'!G90</x:f>
        <x:v>5</x:v>
      </x:c>
      <x:c r="U10" s="69" t="n">
        <x:f>'Base longa'!K90</x:f>
        <x:v>293.9</x:v>
      </x:c>
      <x:c r="V10" s="69" t="n">
        <x:f>'Base longa'!L90</x:f>
        <x:v>355.6</x:v>
      </x:c>
      <x:c r="W10" s="69" t="n">
        <x:f>'Base longa'!M90</x:f>
        <x:v>417.3</x:v>
      </x:c>
      <x:c r="X10" s="53"/>
      <x:c r="Y10" s="66" t="str">
        <x:v>CN</x:v>
      </x:c>
      <x:c r="Z10" s="96" t="n">
        <x:f>'Base longa'!G106</x:f>
        <x:v>5</x:v>
      </x:c>
      <x:c r="AA10" s="69" t="n">
        <x:f>'Base longa'!K106</x:f>
        <x:v>800</x:v>
      </x:c>
      <x:c r="AB10" s="69" t="n">
        <x:f>'Base longa'!L106</x:f>
        <x:v>800</x:v>
      </x:c>
      <x:c r="AC10" s="69" t="n">
        <x:f>'Base longa'!M106</x:f>
        <x:v>800</x:v>
      </x:c>
    </x:row>
    <x:row r="11">
      <x:c r="A11" s="56" t="str">
        <x:v>GERAL</x:v>
      </x:c>
      <x:c r="B11" s="95" t="n">
        <x:f>'Base longa'!G8</x:f>
        <x:v>6</x:v>
      </x:c>
      <x:c r="C11" s="57" t="n">
        <x:f>'Base longa'!K8</x:f>
        <x:v>207.7</x:v>
      </x:c>
      <x:c r="D11" s="57" t="n">
        <x:f>'Base longa'!L8</x:f>
        <x:v>223.8</x:v>
      </x:c>
      <x:c r="E11" s="57" t="n">
        <x:f>'Base longa'!M8</x:f>
        <x:v>239.9</x:v>
      </x:c>
      <x:c r="F11" s="53"/>
      <x:c r="G11" s="56" t="str">
        <x:v>LC</x:v>
      </x:c>
      <x:c r="H11" s="95" t="n">
        <x:f>'Base longa'!G59</x:f>
        <x:v>6</x:v>
      </x:c>
      <x:c r="I11" s="57" t="n">
        <x:f>'Base longa'!K59</x:f>
        <x:v>279.1</x:v>
      </x:c>
      <x:c r="J11" s="57" t="n">
        <x:f>'Base longa'!L59</x:f>
        <x:v>329.6</x:v>
      </x:c>
      <x:c r="K11" s="57" t="n">
        <x:f>'Base longa'!M59</x:f>
        <x:v>380.1</x:v>
      </x:c>
      <x:c r="L11" s="53"/>
      <x:c r="M11" s="56" t="str">
        <x:v>MT</x:v>
      </x:c>
      <x:c r="N11" s="95" t="n">
        <x:f>'Base longa'!G80</x:f>
        <x:v>6</x:v>
      </x:c>
      <x:c r="O11" s="57" t="n">
        <x:f>'Base longa'!K80</x:f>
        <x:v>507.2</x:v>
      </x:c>
      <x:c r="P11" s="57" t="n">
        <x:f>'Base longa'!L80</x:f>
        <x:v>588.8</x:v>
      </x:c>
      <x:c r="Q11" s="57" t="n">
        <x:f>'Base longa'!M80</x:f>
        <x:v>670.4</x:v>
      </x:c>
      <x:c r="R11" s="53"/>
      <x:c r="S11" s="56" t="str">
        <x:v>CH</x:v>
      </x:c>
      <x:c r="T11" s="95" t="n">
        <x:f>'Base longa'!G91</x:f>
        <x:v>6</x:v>
      </x:c>
      <x:c r="U11" s="57" t="n">
        <x:f>'Base longa'!K91</x:f>
        <x:v>344.6</x:v>
      </x:c>
      <x:c r="V11" s="57" t="n">
        <x:f>'Base longa'!L91</x:f>
        <x:v>411.2</x:v>
      </x:c>
      <x:c r="W11" s="57" t="n">
        <x:f>'Base longa'!M91</x:f>
        <x:v>477.8</x:v>
      </x:c>
      <x:c r="X11" s="53"/>
      <x:c r="Y11" s="56"/>
      <x:c r="Z11" s="95"/>
      <x:c r="AA11" s="57"/>
      <x:c r="AB11" s="57"/>
      <x:c r="AC11" s="57"/>
    </x:row>
    <x:row r="12">
      <x:c r="A12" s="66" t="str">
        <x:v>GERAL</x:v>
      </x:c>
      <x:c r="B12" s="96" t="n">
        <x:f>'Base longa'!G9</x:f>
        <x:v>7</x:v>
      </x:c>
      <x:c r="C12" s="69" t="n">
        <x:f>'Base longa'!K9</x:f>
        <x:v>213.7</x:v>
      </x:c>
      <x:c r="D12" s="69" t="n">
        <x:f>'Base longa'!L9</x:f>
        <x:v>232</x:v>
      </x:c>
      <x:c r="E12" s="69" t="n">
        <x:f>'Base longa'!M9</x:f>
        <x:v>250.3</x:v>
      </x:c>
      <x:c r="F12" s="53"/>
      <x:c r="G12" s="66" t="str">
        <x:v>LC</x:v>
      </x:c>
      <x:c r="H12" s="96" t="n">
        <x:f>'Base longa'!G60</x:f>
        <x:v>7</x:v>
      </x:c>
      <x:c r="I12" s="69" t="n">
        <x:f>'Base longa'!K60</x:f>
        <x:v>314.3</x:v>
      </x:c>
      <x:c r="J12" s="69" t="n">
        <x:f>'Base longa'!L60</x:f>
        <x:v>369</x:v>
      </x:c>
      <x:c r="K12" s="69" t="n">
        <x:f>'Base longa'!M60</x:f>
        <x:v>423.7</x:v>
      </x:c>
      <x:c r="L12" s="53"/>
      <x:c r="M12" s="66" t="str">
        <x:v>MT</x:v>
      </x:c>
      <x:c r="N12" s="96" t="n">
        <x:f>'Base longa'!G81</x:f>
        <x:v>7</x:v>
      </x:c>
      <x:c r="O12" s="69" t="n">
        <x:f>'Base longa'!K81</x:f>
        <x:v>599</x:v>
      </x:c>
      <x:c r="P12" s="69" t="n">
        <x:f>'Base longa'!L81</x:f>
        <x:v>670.4</x:v>
      </x:c>
      <x:c r="Q12" s="69" t="n">
        <x:f>'Base longa'!M81</x:f>
        <x:v>741.8</x:v>
      </x:c>
      <x:c r="R12" s="53"/>
      <x:c r="S12" s="66" t="str">
        <x:v>CH</x:v>
      </x:c>
      <x:c r="T12" s="96" t="n">
        <x:f>'Base longa'!G92</x:f>
        <x:v>7</x:v>
      </x:c>
      <x:c r="U12" s="69" t="n">
        <x:f>'Base longa'!K92</x:f>
        <x:v>400.9</x:v>
      </x:c>
      <x:c r="V12" s="69" t="n">
        <x:f>'Base longa'!L92</x:f>
        <x:v>470</x:v>
      </x:c>
      <x:c r="W12" s="69" t="n">
        <x:f>'Base longa'!M92</x:f>
        <x:v>539.1</x:v>
      </x:c>
      <x:c r="X12" s="53"/>
      <x:c r="Y12" s="66"/>
      <x:c r="Z12" s="96"/>
      <x:c r="AA12" s="69"/>
      <x:c r="AB12" s="69"/>
      <x:c r="AC12" s="69"/>
    </x:row>
    <x:row r="13">
      <x:c r="A13" s="56" t="str">
        <x:v>GERAL</x:v>
      </x:c>
      <x:c r="B13" s="95" t="n">
        <x:f>'Base longa'!G10</x:f>
        <x:v>8</x:v>
      </x:c>
      <x:c r="C13" s="57" t="n">
        <x:f>'Base longa'!K10</x:f>
        <x:v>220.8</x:v>
      </x:c>
      <x:c r="D13" s="57" t="n">
        <x:f>'Base longa'!L10</x:f>
        <x:v>241.2</x:v>
      </x:c>
      <x:c r="E13" s="57" t="n">
        <x:f>'Base longa'!M10</x:f>
        <x:v>261.6</x:v>
      </x:c>
      <x:c r="F13" s="53"/>
      <x:c r="G13" s="56" t="str">
        <x:v>LC</x:v>
      </x:c>
      <x:c r="H13" s="95" t="n">
        <x:f>'Base longa'!G61</x:f>
        <x:v>8</x:v>
      </x:c>
      <x:c r="I13" s="57" t="n">
        <x:f>'Base longa'!K61</x:f>
        <x:v>353.5</x:v>
      </x:c>
      <x:c r="J13" s="57" t="n">
        <x:f>'Base longa'!L61</x:f>
        <x:v>411.2</x:v>
      </x:c>
      <x:c r="K13" s="57" t="n">
        <x:f>'Base longa'!M61</x:f>
        <x:v>468.9</x:v>
      </x:c>
      <x:c r="L13" s="53"/>
      <x:c r="M13" s="56" t="str">
        <x:v>MT</x:v>
      </x:c>
      <x:c r="N13" s="95" t="n">
        <x:f>'Base longa'!G82</x:f>
        <x:v>8</x:v>
      </x:c>
      <x:c r="O13" s="57" t="n">
        <x:f>'Base longa'!K82</x:f>
        <x:v>683.2</x:v>
      </x:c>
      <x:c r="P13" s="57" t="n">
        <x:f>'Base longa'!L82</x:f>
        <x:v>737.6</x:v>
      </x:c>
      <x:c r="Q13" s="57" t="n">
        <x:f>'Base longa'!M82</x:f>
        <x:v>792</x:v>
      </x:c>
      <x:c r="R13" s="53"/>
      <x:c r="S13" s="56" t="str">
        <x:v>CH</x:v>
      </x:c>
      <x:c r="T13" s="95" t="n">
        <x:f>'Base longa'!G93</x:f>
        <x:v>8</x:v>
      </x:c>
      <x:c r="U13" s="57" t="n">
        <x:f>'Base longa'!K93</x:f>
        <x:v>460.9</x:v>
      </x:c>
      <x:c r="V13" s="57" t="n">
        <x:f>'Base longa'!L93</x:f>
        <x:v>530</x:v>
      </x:c>
      <x:c r="W13" s="57" t="n">
        <x:f>'Base longa'!M93</x:f>
        <x:v>599.1</x:v>
      </x:c>
      <x:c r="X13" s="53"/>
      <x:c r="Y13" s="56"/>
      <x:c r="Z13" s="95"/>
      <x:c r="AA13" s="57"/>
      <x:c r="AB13" s="57"/>
      <x:c r="AC13" s="57"/>
    </x:row>
    <x:row r="14">
      <x:c r="A14" s="66" t="str">
        <x:v>GERAL</x:v>
      </x:c>
      <x:c r="B14" s="96" t="n">
        <x:f>'Base longa'!G11</x:f>
        <x:v>9</x:v>
      </x:c>
      <x:c r="C14" s="69" t="n">
        <x:f>'Base longa'!K11</x:f>
        <x:v>228.9</x:v>
      </x:c>
      <x:c r="D14" s="69" t="n">
        <x:f>'Base longa'!L11</x:f>
        <x:v>251.3</x:v>
      </x:c>
      <x:c r="E14" s="69" t="n">
        <x:f>'Base longa'!M11</x:f>
        <x:v>273.7</x:v>
      </x:c>
      <x:c r="F14" s="53"/>
      <x:c r="G14" s="66" t="str">
        <x:v>LC</x:v>
      </x:c>
      <x:c r="H14" s="96" t="n">
        <x:f>'Base longa'!G62</x:f>
        <x:v>9</x:v>
      </x:c>
      <x:c r="I14" s="69" t="n">
        <x:f>'Base longa'!K62</x:f>
        <x:v>395.7</x:v>
      </x:c>
      <x:c r="J14" s="69" t="n">
        <x:f>'Base longa'!L62</x:f>
        <x:v>455.2</x:v>
      </x:c>
      <x:c r="K14" s="69" t="n">
        <x:f>'Base longa'!M62</x:f>
        <x:v>514.7</x:v>
      </x:c>
      <x:c r="L14" s="53"/>
      <x:c r="M14" s="66" t="str">
        <x:v>MT</x:v>
      </x:c>
      <x:c r="N14" s="96" t="n">
        <x:f>'Base longa'!G83</x:f>
        <x:v>9</x:v>
      </x:c>
      <x:c r="O14" s="69" t="n">
        <x:f>'Base longa'!K83</x:f>
        <x:v>752.6</x:v>
      </x:c>
      <x:c r="P14" s="69" t="n">
        <x:f>'Base longa'!L83</x:f>
        <x:v>783.2</x:v>
      </x:c>
      <x:c r="Q14" s="69" t="n">
        <x:f>'Base longa'!M83</x:f>
        <x:v>800</x:v>
      </x:c>
      <x:c r="R14" s="53"/>
      <x:c r="S14" s="66" t="str">
        <x:v>CH</x:v>
      </x:c>
      <x:c r="T14" s="96" t="n">
        <x:f>'Base longa'!G94</x:f>
        <x:v>9</x:v>
      </x:c>
      <x:c r="U14" s="69" t="n">
        <x:f>'Base longa'!K94</x:f>
        <x:v>522.2</x:v>
      </x:c>
      <x:c r="V14" s="69" t="n">
        <x:f>'Base longa'!L94</x:f>
        <x:v>588.8</x:v>
      </x:c>
      <x:c r="W14" s="69" t="n">
        <x:f>'Base longa'!M94</x:f>
        <x:v>655.4</x:v>
      </x:c>
      <x:c r="X14" s="53"/>
      <x:c r="Y14" s="66"/>
      <x:c r="Z14" s="96"/>
      <x:c r="AA14" s="69"/>
      <x:c r="AB14" s="69"/>
      <x:c r="AC14" s="69"/>
    </x:row>
    <x:row r="15">
      <x:c r="A15" s="56" t="str">
        <x:v>GERAL</x:v>
      </x:c>
      <x:c r="B15" s="95" t="n">
        <x:f>'Base longa'!G12</x:f>
        <x:v>10</x:v>
      </x:c>
      <x:c r="C15" s="57" t="n">
        <x:f>'Base longa'!K12</x:f>
        <x:v>238.1</x:v>
      </x:c>
      <x:c r="D15" s="57" t="n">
        <x:f>'Base longa'!L12</x:f>
        <x:v>262.4</x:v>
      </x:c>
      <x:c r="E15" s="57" t="n">
        <x:f>'Base longa'!M12</x:f>
        <x:v>286.7</x:v>
      </x:c>
      <x:c r="F15" s="53"/>
      <x:c r="G15" s="56" t="str">
        <x:v>LC</x:v>
      </x:c>
      <x:c r="H15" s="95" t="n">
        <x:f>'Base longa'!G63</x:f>
        <x:v>10</x:v>
      </x:c>
      <x:c r="I15" s="57" t="n">
        <x:f>'Base longa'!K63</x:f>
        <x:v>439.9</x:v>
      </x:c>
      <x:c r="J15" s="57" t="n">
        <x:f>'Base longa'!L63</x:f>
        <x:v>500</x:v>
      </x:c>
      <x:c r="K15" s="57" t="n">
        <x:f>'Base longa'!M63</x:f>
        <x:v>560.1</x:v>
      </x:c>
      <x:c r="L15" s="53"/>
      <x:c r="M15" s="56" t="str">
        <x:v>MT</x:v>
      </x:c>
      <x:c r="N15" s="95" t="n">
        <x:f>'Base longa'!G84</x:f>
        <x:v>10</x:v>
      </x:c>
      <x:c r="O15" s="57" t="n">
        <x:f>'Base longa'!K84</x:f>
        <x:v>800</x:v>
      </x:c>
      <x:c r="P15" s="57" t="n">
        <x:f>'Base longa'!L84</x:f>
        <x:v>800</x:v>
      </x:c>
      <x:c r="Q15" s="57" t="n">
        <x:f>'Base longa'!M84</x:f>
        <x:v>800</x:v>
      </x:c>
      <x:c r="R15" s="53"/>
      <x:c r="S15" s="56" t="str">
        <x:v>CH</x:v>
      </x:c>
      <x:c r="T15" s="95" t="n">
        <x:f>'Base longa'!G95</x:f>
        <x:v>10</x:v>
      </x:c>
      <x:c r="U15" s="57" t="n">
        <x:f>'Base longa'!K95</x:f>
        <x:v>582.7</x:v>
      </x:c>
      <x:c r="V15" s="57" t="n">
        <x:f>'Base longa'!L95</x:f>
        <x:v>644.4</x:v>
      </x:c>
      <x:c r="W15" s="57" t="n">
        <x:f>'Base longa'!M95</x:f>
        <x:v>706.1</x:v>
      </x:c>
      <x:c r="X15" s="53"/>
      <x:c r="Y15" s="56"/>
      <x:c r="Z15" s="95"/>
      <x:c r="AA15" s="57"/>
      <x:c r="AB15" s="57"/>
      <x:c r="AC15" s="57"/>
    </x:row>
    <x:row r="16">
      <x:c r="A16" s="66" t="str">
        <x:v>GERAL</x:v>
      </x:c>
      <x:c r="B16" s="96" t="n">
        <x:f>'Base longa'!G13</x:f>
        <x:v>11</x:v>
      </x:c>
      <x:c r="C16" s="69" t="n">
        <x:f>'Base longa'!K13</x:f>
        <x:v>248.2</x:v>
      </x:c>
      <x:c r="D16" s="69" t="n">
        <x:f>'Base longa'!L13</x:f>
        <x:v>274.3</x:v>
      </x:c>
      <x:c r="E16" s="69" t="n">
        <x:f>'Base longa'!M13</x:f>
        <x:v>300.4</x:v>
      </x:c>
      <x:c r="F16" s="53"/>
      <x:c r="G16" s="66" t="str">
        <x:v>LC</x:v>
      </x:c>
      <x:c r="H16" s="96" t="n">
        <x:f>'Base longa'!G64</x:f>
        <x:v>11</x:v>
      </x:c>
      <x:c r="I16" s="69" t="n">
        <x:f>'Base longa'!K64</x:f>
        <x:v>485.4</x:v>
      </x:c>
      <x:c r="J16" s="69" t="n">
        <x:f>'Base longa'!L64</x:f>
        <x:v>544.9</x:v>
      </x:c>
      <x:c r="K16" s="69" t="n">
        <x:f>'Base longa'!M64</x:f>
        <x:v>604.4</x:v>
      </x:c>
      <x:c r="L16" s="53"/>
      <x:c r="M16" s="66"/>
      <x:c r="N16" s="96"/>
      <x:c r="O16" s="69"/>
      <x:c r="P16" s="69"/>
      <x:c r="Q16" s="69"/>
      <x:c r="R16" s="53"/>
      <x:c r="S16" s="66" t="str">
        <x:v>CH</x:v>
      </x:c>
      <x:c r="T16" s="96" t="n">
        <x:f>'Base longa'!G96</x:f>
        <x:v>11</x:v>
      </x:c>
      <x:c r="U16" s="69" t="n">
        <x:f>'Base longa'!K96</x:f>
        <x:v>640.5</x:v>
      </x:c>
      <x:c r="V16" s="69" t="n">
        <x:f>'Base longa'!L96</x:f>
        <x:v>694.8</x:v>
      </x:c>
      <x:c r="W16" s="69" t="n">
        <x:f>'Base longa'!M96</x:f>
        <x:v>749.1</x:v>
      </x:c>
      <x:c r="X16" s="53"/>
      <x:c r="Y16" s="66"/>
      <x:c r="Z16" s="96"/>
      <x:c r="AA16" s="69"/>
      <x:c r="AB16" s="69"/>
      <x:c r="AC16" s="69"/>
    </x:row>
    <x:row r="17">
      <x:c r="A17" s="56" t="str">
        <x:v>GERAL</x:v>
      </x:c>
      <x:c r="B17" s="95" t="n">
        <x:f>'Base longa'!G14</x:f>
        <x:v>12</x:v>
      </x:c>
      <x:c r="C17" s="57" t="n">
        <x:f>'Base longa'!K14</x:f>
        <x:v>259.4</x:v>
      </x:c>
      <x:c r="D17" s="57" t="n">
        <x:f>'Base longa'!L14</x:f>
        <x:v>287.1</x:v>
      </x:c>
      <x:c r="E17" s="57" t="n">
        <x:f>'Base longa'!M14</x:f>
        <x:v>314.8</x:v>
      </x:c>
      <x:c r="F17" s="53"/>
      <x:c r="G17" s="56" t="str">
        <x:v>LC</x:v>
      </x:c>
      <x:c r="H17" s="95" t="n">
        <x:f>'Base longa'!G65</x:f>
        <x:v>12</x:v>
      </x:c>
      <x:c r="I17" s="57" t="n">
        <x:f>'Base longa'!K65</x:f>
        <x:v>531.1</x:v>
      </x:c>
      <x:c r="J17" s="57" t="n">
        <x:f>'Base longa'!L65</x:f>
        <x:v>588.8</x:v>
      </x:c>
      <x:c r="K17" s="57" t="n">
        <x:f>'Base longa'!M65</x:f>
        <x:v>646.5</x:v>
      </x:c>
      <x:c r="L17" s="53"/>
      <x:c r="M17" s="56"/>
      <x:c r="N17" s="95"/>
      <x:c r="O17" s="57"/>
      <x:c r="P17" s="57"/>
      <x:c r="Q17" s="57"/>
      <x:c r="R17" s="53"/>
      <x:c r="S17" s="56" t="str">
        <x:v>CH</x:v>
      </x:c>
      <x:c r="T17" s="95" t="n">
        <x:f>'Base longa'!G97</x:f>
        <x:v>12</x:v>
      </x:c>
      <x:c r="U17" s="57" t="n">
        <x:f>'Base longa'!K97</x:f>
        <x:v>693.2</x:v>
      </x:c>
      <x:c r="V17" s="57" t="n">
        <x:f>'Base longa'!L97</x:f>
        <x:v>737.6</x:v>
      </x:c>
      <x:c r="W17" s="57" t="n">
        <x:f>'Base longa'!M97</x:f>
        <x:v>782</x:v>
      </x:c>
      <x:c r="X17" s="53"/>
      <x:c r="Y17" s="56"/>
      <x:c r="Z17" s="95"/>
      <x:c r="AA17" s="57"/>
      <x:c r="AB17" s="57"/>
      <x:c r="AC17" s="57"/>
    </x:row>
    <x:row r="18">
      <x:c r="A18" s="66" t="str">
        <x:v>GERAL</x:v>
      </x:c>
      <x:c r="B18" s="96" t="n">
        <x:f>'Base longa'!G15</x:f>
        <x:v>13</x:v>
      </x:c>
      <x:c r="C18" s="69" t="n">
        <x:f>'Base longa'!K15</x:f>
        <x:v>271.3</x:v>
      </x:c>
      <x:c r="D18" s="69" t="n">
        <x:f>'Base longa'!L15</x:f>
        <x:v>300.6</x:v>
      </x:c>
      <x:c r="E18" s="69" t="n">
        <x:f>'Base longa'!M15</x:f>
        <x:v>329.9</x:v>
      </x:c>
      <x:c r="F18" s="53"/>
      <x:c r="G18" s="66" t="str">
        <x:v>LC</x:v>
      </x:c>
      <x:c r="H18" s="96" t="n">
        <x:f>'Base longa'!G66</x:f>
        <x:v>13</x:v>
      </x:c>
      <x:c r="I18" s="69" t="n">
        <x:f>'Base longa'!K66</x:f>
        <x:v>576.3</x:v>
      </x:c>
      <x:c r="J18" s="69" t="n">
        <x:f>'Base longa'!L66</x:f>
        <x:v>631</x:v>
      </x:c>
      <x:c r="K18" s="69" t="n">
        <x:f>'Base longa'!M66</x:f>
        <x:v>685.7</x:v>
      </x:c>
      <x:c r="L18" s="53"/>
      <x:c r="M18" s="66"/>
      <x:c r="N18" s="96"/>
      <x:c r="O18" s="69"/>
      <x:c r="P18" s="69"/>
      <x:c r="Q18" s="69"/>
      <x:c r="R18" s="53"/>
      <x:c r="S18" s="66" t="str">
        <x:v>CH</x:v>
      </x:c>
      <x:c r="T18" s="96" t="n">
        <x:f>'Base longa'!G98</x:f>
        <x:v>13</x:v>
      </x:c>
      <x:c r="U18" s="69" t="n">
        <x:f>'Base longa'!K98</x:f>
        <x:v>738.7</x:v>
      </x:c>
      <x:c r="V18" s="69" t="n">
        <x:f>'Base longa'!L98</x:f>
        <x:v>770.8</x:v>
      </x:c>
      <x:c r="W18" s="69" t="n">
        <x:f>'Base longa'!M98</x:f>
        <x:v>800</x:v>
      </x:c>
      <x:c r="X18" s="53"/>
      <x:c r="Y18" s="66"/>
      <x:c r="Z18" s="96"/>
      <x:c r="AA18" s="69"/>
      <x:c r="AB18" s="69"/>
      <x:c r="AC18" s="69"/>
    </x:row>
    <x:row r="19">
      <x:c r="A19" s="56" t="str">
        <x:v>GERAL</x:v>
      </x:c>
      <x:c r="B19" s="95" t="n">
        <x:f>'Base longa'!G16</x:f>
        <x:v>14</x:v>
      </x:c>
      <x:c r="C19" s="57" t="n">
        <x:f>'Base longa'!K16</x:f>
        <x:v>284.1</x:v>
      </x:c>
      <x:c r="D19" s="57" t="n">
        <x:f>'Base longa'!L16</x:f>
        <x:v>314.8</x:v>
      </x:c>
      <x:c r="E19" s="57" t="n">
        <x:f>'Base longa'!M16</x:f>
        <x:v>345.5</x:v>
      </x:c>
      <x:c r="F19" s="53"/>
      <x:c r="G19" s="56" t="str">
        <x:v>LC</x:v>
      </x:c>
      <x:c r="H19" s="95" t="n">
        <x:f>'Base longa'!G67</x:f>
        <x:v>14</x:v>
      </x:c>
      <x:c r="I19" s="57" t="n">
        <x:f>'Base longa'!K67</x:f>
        <x:v>619.9</x:v>
      </x:c>
      <x:c r="J19" s="57" t="n">
        <x:f>'Base longa'!L67</x:f>
        <x:v>670.4</x:v>
      </x:c>
      <x:c r="K19" s="57" t="n">
        <x:f>'Base longa'!M67</x:f>
        <x:v>720.9</x:v>
      </x:c>
      <x:c r="L19" s="53"/>
      <x:c r="M19" s="56"/>
      <x:c r="N19" s="95"/>
      <x:c r="O19" s="57"/>
      <x:c r="P19" s="57"/>
      <x:c r="Q19" s="57"/>
      <x:c r="R19" s="53"/>
      <x:c r="S19" s="56" t="str">
        <x:v>CH</x:v>
      </x:c>
      <x:c r="T19" s="95" t="n">
        <x:f>'Base longa'!G99</x:f>
        <x:v>14</x:v>
      </x:c>
      <x:c r="U19" s="57" t="n">
        <x:f>'Base longa'!K99</x:f>
        <x:v>775.1</x:v>
      </x:c>
      <x:c r="V19" s="57" t="n">
        <x:f>'Base longa'!L99</x:f>
        <x:v>792.4</x:v>
      </x:c>
      <x:c r="W19" s="57" t="n">
        <x:f>'Base longa'!M99</x:f>
        <x:v>800</x:v>
      </x:c>
      <x:c r="X19" s="53"/>
      <x:c r="Y19" s="56"/>
      <x:c r="Z19" s="95"/>
      <x:c r="AA19" s="57"/>
      <x:c r="AB19" s="57"/>
      <x:c r="AC19" s="57"/>
    </x:row>
    <x:row r="20">
      <x:c r="A20" s="66" t="str">
        <x:v>GERAL</x:v>
      </x:c>
      <x:c r="B20" s="96" t="n">
        <x:f>'Base longa'!G17</x:f>
        <x:v>15</x:v>
      </x:c>
      <x:c r="C20" s="69" t="n">
        <x:f>'Base longa'!K17</x:f>
        <x:v>297.7</x:v>
      </x:c>
      <x:c r="D20" s="69" t="n">
        <x:f>'Base longa'!L17</x:f>
        <x:v>329.6</x:v>
      </x:c>
      <x:c r="E20" s="69" t="n">
        <x:f>'Base longa'!M17</x:f>
        <x:v>361.5</x:v>
      </x:c>
      <x:c r="F20" s="53"/>
      <x:c r="G20" s="66" t="str">
        <x:v>LC</x:v>
      </x:c>
      <x:c r="H20" s="96" t="n">
        <x:f>'Base longa'!G68</x:f>
        <x:v>15</x:v>
      </x:c>
      <x:c r="I20" s="69" t="n">
        <x:f>'Base longa'!K68</x:f>
        <x:v>661.2</x:v>
      </x:c>
      <x:c r="J20" s="69" t="n">
        <x:f>'Base longa'!L68</x:f>
        <x:v>706.3</x:v>
      </x:c>
      <x:c r="K20" s="69" t="n">
        <x:f>'Base longa'!M68</x:f>
        <x:v>751.4</x:v>
      </x:c>
      <x:c r="L20" s="53"/>
      <x:c r="M20" s="66"/>
      <x:c r="N20" s="96"/>
      <x:c r="O20" s="69"/>
      <x:c r="P20" s="69"/>
      <x:c r="Q20" s="69"/>
      <x:c r="R20" s="53"/>
      <x:c r="S20" s="66" t="str">
        <x:v>CH</x:v>
      </x:c>
      <x:c r="T20" s="96" t="n">
        <x:f>'Base longa'!G100</x:f>
        <x:v>15</x:v>
      </x:c>
      <x:c r="U20" s="69" t="n">
        <x:f>'Base longa'!K100</x:f>
        <x:v>800</x:v>
      </x:c>
      <x:c r="V20" s="69" t="n">
        <x:f>'Base longa'!L100</x:f>
        <x:v>800</x:v>
      </x:c>
      <x:c r="W20" s="69" t="n">
        <x:f>'Base longa'!M100</x:f>
        <x:v>800</x:v>
      </x:c>
      <x:c r="X20" s="53"/>
      <x:c r="Y20" s="66"/>
      <x:c r="Z20" s="96"/>
      <x:c r="AA20" s="69"/>
      <x:c r="AB20" s="69"/>
      <x:c r="AC20" s="69"/>
    </x:row>
    <x:row r="21">
      <x:c r="A21" s="56" t="str">
        <x:v>GERAL</x:v>
      </x:c>
      <x:c r="B21" s="95" t="n">
        <x:f>'Base longa'!G18</x:f>
        <x:v>16</x:v>
      </x:c>
      <x:c r="C21" s="57" t="n">
        <x:f>'Base longa'!K18</x:f>
        <x:v>311.9</x:v>
      </x:c>
      <x:c r="D21" s="57" t="n">
        <x:f>'Base longa'!L18</x:f>
        <x:v>345</x:v>
      </x:c>
      <x:c r="E21" s="57" t="n">
        <x:f>'Base longa'!M18</x:f>
        <x:v>378.1</x:v>
      </x:c>
      <x:c r="F21" s="53"/>
      <x:c r="G21" s="56" t="str">
        <x:v>LC</x:v>
      </x:c>
      <x:c r="H21" s="95" t="n">
        <x:f>'Base longa'!G69</x:f>
        <x:v>16</x:v>
      </x:c>
      <x:c r="I21" s="57" t="n">
        <x:f>'Base longa'!K69</x:f>
        <x:v>699.1</x:v>
      </x:c>
      <x:c r="J21" s="57" t="n">
        <x:f>'Base longa'!L69</x:f>
        <x:v>737.6</x:v>
      </x:c>
      <x:c r="K21" s="57" t="n">
        <x:f>'Base longa'!M69</x:f>
        <x:v>776.1</x:v>
      </x:c>
      <x:c r="L21" s="53"/>
      <x:c r="M21" s="56"/>
      <x:c r="N21" s="95"/>
      <x:c r="O21" s="57"/>
      <x:c r="P21" s="57"/>
      <x:c r="Q21" s="57"/>
      <x:c r="R21" s="53"/>
      <x:c r="S21" s="56"/>
      <x:c r="T21" s="95"/>
      <x:c r="U21" s="57"/>
      <x:c r="V21" s="57"/>
      <x:c r="W21" s="57"/>
      <x:c r="X21" s="53"/>
      <x:c r="Y21" s="56"/>
      <x:c r="Z21" s="95"/>
      <x:c r="AA21" s="57"/>
      <x:c r="AB21" s="57"/>
      <x:c r="AC21" s="57"/>
    </x:row>
    <x:row r="22">
      <x:c r="A22" s="66" t="str">
        <x:v>GERAL</x:v>
      </x:c>
      <x:c r="B22" s="96" t="n">
        <x:f>'Base longa'!G19</x:f>
        <x:v>17</x:v>
      </x:c>
      <x:c r="C22" s="69" t="n">
        <x:f>'Base longa'!K19</x:f>
        <x:v>326.8</x:v>
      </x:c>
      <x:c r="D22" s="69" t="n">
        <x:f>'Base longa'!L19</x:f>
        <x:v>360.9</x:v>
      </x:c>
      <x:c r="E22" s="69" t="n">
        <x:f>'Base longa'!M19</x:f>
        <x:v>395</x:v>
      </x:c>
      <x:c r="F22" s="53"/>
      <x:c r="G22" s="66" t="str">
        <x:v>LC</x:v>
      </x:c>
      <x:c r="H22" s="96" t="n">
        <x:f>'Base longa'!G70</x:f>
        <x:v>17</x:v>
      </x:c>
      <x:c r="I22" s="69" t="n">
        <x:f>'Base longa'!K70</x:f>
        <x:v>732.8</x:v>
      </x:c>
      <x:c r="J22" s="69" t="n">
        <x:f>'Base longa'!L70</x:f>
        <x:v>763.5</x:v>
      </x:c>
      <x:c r="K22" s="69" t="n">
        <x:f>'Base longa'!M70</x:f>
        <x:v>794.2</x:v>
      </x:c>
      <x:c r="L22" s="53"/>
      <x:c r="M22" s="66"/>
      <x:c r="N22" s="96"/>
      <x:c r="O22" s="69"/>
      <x:c r="P22" s="69"/>
      <x:c r="Q22" s="69"/>
      <x:c r="R22" s="53"/>
      <x:c r="S22" s="66"/>
      <x:c r="T22" s="96"/>
      <x:c r="U22" s="69"/>
      <x:c r="V22" s="69"/>
      <x:c r="W22" s="69"/>
      <x:c r="X22" s="53"/>
      <x:c r="Y22" s="66"/>
      <x:c r="Z22" s="96"/>
      <x:c r="AA22" s="69"/>
      <x:c r="AB22" s="69"/>
      <x:c r="AC22" s="69"/>
    </x:row>
    <x:row r="23">
      <x:c r="A23" s="56" t="str">
        <x:v>GERAL</x:v>
      </x:c>
      <x:c r="B23" s="95" t="n">
        <x:f>'Base longa'!G20</x:f>
        <x:v>18</x:v>
      </x:c>
      <x:c r="C23" s="57" t="n">
        <x:f>'Base longa'!K20</x:f>
        <x:v>342.3</x:v>
      </x:c>
      <x:c r="D23" s="57" t="n">
        <x:f>'Base longa'!L20</x:f>
        <x:v>377.3</x:v>
      </x:c>
      <x:c r="E23" s="57" t="n">
        <x:f>'Base longa'!M20</x:f>
        <x:v>412.3</x:v>
      </x:c>
      <x:c r="F23" s="53"/>
      <x:c r="G23" s="56" t="str">
        <x:v>LC</x:v>
      </x:c>
      <x:c r="H23" s="95" t="n">
        <x:f>'Base longa'!G71</x:f>
        <x:v>18</x:v>
      </x:c>
      <x:c r="I23" s="57" t="n">
        <x:f>'Base longa'!K71</x:f>
        <x:v>761.6</x:v>
      </x:c>
      <x:c r="J23" s="57" t="n">
        <x:f>'Base longa'!L71</x:f>
        <x:v>783.2</x:v>
      </x:c>
      <x:c r="K23" s="57" t="n">
        <x:f>'Base longa'!M71</x:f>
        <x:v>800</x:v>
      </x:c>
      <x:c r="L23" s="53"/>
      <x:c r="M23" s="56"/>
      <x:c r="N23" s="95"/>
      <x:c r="O23" s="57"/>
      <x:c r="P23" s="57"/>
      <x:c r="Q23" s="57"/>
      <x:c r="R23" s="53"/>
      <x:c r="S23" s="56"/>
      <x:c r="T23" s="95"/>
      <x:c r="U23" s="57"/>
      <x:c r="V23" s="57"/>
      <x:c r="W23" s="57"/>
      <x:c r="X23" s="53"/>
      <x:c r="Y23" s="56"/>
      <x:c r="Z23" s="95"/>
      <x:c r="AA23" s="57"/>
      <x:c r="AB23" s="57"/>
      <x:c r="AC23" s="57"/>
    </x:row>
    <x:row r="24">
      <x:c r="A24" s="66" t="str">
        <x:v>GERAL</x:v>
      </x:c>
      <x:c r="B24" s="96" t="n">
        <x:f>'Base longa'!G21</x:f>
        <x:v>19</x:v>
      </x:c>
      <x:c r="C24" s="69" t="n">
        <x:f>'Base longa'!K21</x:f>
        <x:v>358.3</x:v>
      </x:c>
      <x:c r="D24" s="69" t="n">
        <x:f>'Base longa'!L21</x:f>
        <x:v>394.1</x:v>
      </x:c>
      <x:c r="E24" s="69" t="n">
        <x:f>'Base longa'!M21</x:f>
        <x:v>429.9</x:v>
      </x:c>
      <x:c r="F24" s="53"/>
      <x:c r="G24" s="66" t="str">
        <x:v>LC</x:v>
      </x:c>
      <x:c r="H24" s="96" t="n">
        <x:f>'Base longa'!G72</x:f>
        <x:v>19</x:v>
      </x:c>
      <x:c r="I24" s="69" t="n">
        <x:f>'Base longa'!K72</x:f>
        <x:v>784.3</x:v>
      </x:c>
      <x:c r="J24" s="69" t="n">
        <x:f>'Base longa'!L72</x:f>
        <x:v>795.7</x:v>
      </x:c>
      <x:c r="K24" s="69" t="n">
        <x:f>'Base longa'!M72</x:f>
        <x:v>800</x:v>
      </x:c>
      <x:c r="L24" s="53"/>
      <x:c r="M24" s="66"/>
      <x:c r="N24" s="96"/>
      <x:c r="O24" s="69"/>
      <x:c r="P24" s="69"/>
      <x:c r="Q24" s="69"/>
      <x:c r="R24" s="53"/>
      <x:c r="S24" s="66"/>
      <x:c r="T24" s="96"/>
      <x:c r="U24" s="69"/>
      <x:c r="V24" s="69"/>
      <x:c r="W24" s="69"/>
      <x:c r="X24" s="53"/>
      <x:c r="Y24" s="66"/>
      <x:c r="Z24" s="96"/>
      <x:c r="AA24" s="69"/>
      <x:c r="AB24" s="69"/>
      <x:c r="AC24" s="69"/>
    </x:row>
    <x:row r="25">
      <x:c r="A25" s="56" t="str">
        <x:v>GERAL</x:v>
      </x:c>
      <x:c r="B25" s="95" t="n">
        <x:f>'Base longa'!G22</x:f>
        <x:v>20</x:v>
      </x:c>
      <x:c r="C25" s="57" t="n">
        <x:f>'Base longa'!K22</x:f>
        <x:v>374.7</x:v>
      </x:c>
      <x:c r="D25" s="57" t="n">
        <x:f>'Base longa'!L22</x:f>
        <x:v>411.2</x:v>
      </x:c>
      <x:c r="E25" s="57" t="n">
        <x:f>'Base longa'!M22</x:f>
        <x:v>447.7</x:v>
      </x:c>
      <x:c r="F25" s="53"/>
      <x:c r="G25" s="56" t="str">
        <x:v>LC</x:v>
      </x:c>
      <x:c r="H25" s="95" t="n">
        <x:f>'Base longa'!G73</x:f>
        <x:v>20</x:v>
      </x:c>
      <x:c r="I25" s="57" t="n">
        <x:f>'Base longa'!K73</x:f>
        <x:v>800</x:v>
      </x:c>
      <x:c r="J25" s="57" t="n">
        <x:f>'Base longa'!L73</x:f>
        <x:v>800</x:v>
      </x:c>
      <x:c r="K25" s="57" t="n">
        <x:f>'Base longa'!M73</x:f>
        <x:v>800</x:v>
      </x:c>
      <x:c r="L25" s="53"/>
      <x:c r="M25" s="56"/>
      <x:c r="N25" s="95"/>
      <x:c r="O25" s="57"/>
      <x:c r="P25" s="57"/>
      <x:c r="Q25" s="57"/>
      <x:c r="R25" s="53"/>
      <x:c r="S25" s="56"/>
      <x:c r="T25" s="95"/>
      <x:c r="U25" s="57"/>
      <x:c r="V25" s="57"/>
      <x:c r="W25" s="57"/>
      <x:c r="X25" s="53"/>
      <x:c r="Y25" s="56"/>
      <x:c r="Z25" s="95"/>
      <x:c r="AA25" s="57"/>
      <x:c r="AB25" s="57"/>
      <x:c r="AC25" s="57"/>
    </x:row>
    <x:row r="26">
      <x:c r="A26" s="66" t="str">
        <x:v>GERAL</x:v>
      </x:c>
      <x:c r="B26" s="96" t="n">
        <x:f>'Base longa'!G23</x:f>
        <x:v>21</x:v>
      </x:c>
      <x:c r="C26" s="69" t="n">
        <x:f>'Base longa'!K23</x:f>
        <x:v>391.6</x:v>
      </x:c>
      <x:c r="D26" s="69" t="n">
        <x:f>'Base longa'!L23</x:f>
        <x:v>428.6</x:v>
      </x:c>
      <x:c r="E26" s="69" t="n">
        <x:f>'Base longa'!M23</x:f>
        <x:v>465.6</x:v>
      </x:c>
      <x:c r="F26" s="53"/>
      <x:c r="G26" s="66"/>
      <x:c r="H26" s="96"/>
      <x:c r="I26" s="69"/>
      <x:c r="J26" s="69"/>
      <x:c r="K26" s="69"/>
      <x:c r="L26" s="53"/>
      <x:c r="M26" s="66"/>
      <x:c r="N26" s="96"/>
      <x:c r="O26" s="69"/>
      <x:c r="P26" s="69"/>
      <x:c r="Q26" s="69"/>
      <x:c r="R26" s="53"/>
      <x:c r="S26" s="66"/>
      <x:c r="T26" s="96"/>
      <x:c r="U26" s="69"/>
      <x:c r="V26" s="69"/>
      <x:c r="W26" s="69"/>
      <x:c r="X26" s="53"/>
      <x:c r="Y26" s="66"/>
      <x:c r="Z26" s="96"/>
      <x:c r="AA26" s="69"/>
      <x:c r="AB26" s="69"/>
      <x:c r="AC26" s="69"/>
    </x:row>
    <x:row r="27">
      <x:c r="A27" s="56" t="str">
        <x:v>GERAL</x:v>
      </x:c>
      <x:c r="B27" s="95" t="n">
        <x:f>'Base longa'!G24</x:f>
        <x:v>22</x:v>
      </x:c>
      <x:c r="C27" s="57" t="n">
        <x:f>'Base longa'!K24</x:f>
        <x:v>408.8</x:v>
      </x:c>
      <x:c r="D27" s="57" t="n">
        <x:f>'Base longa'!L24</x:f>
        <x:v>446.3</x:v>
      </x:c>
      <x:c r="E27" s="57" t="n">
        <x:f>'Base longa'!M24</x:f>
        <x:v>483.8</x:v>
      </x:c>
      <x:c r="F27" s="53"/>
      <x:c r="G27" s="56"/>
      <x:c r="H27" s="95"/>
      <x:c r="I27" s="57"/>
      <x:c r="J27" s="57"/>
      <x:c r="K27" s="57"/>
      <x:c r="L27" s="53"/>
      <x:c r="M27" s="56"/>
      <x:c r="N27" s="95"/>
      <x:c r="O27" s="57"/>
      <x:c r="P27" s="57"/>
      <x:c r="Q27" s="57"/>
      <x:c r="R27" s="53"/>
      <x:c r="S27" s="56"/>
      <x:c r="T27" s="95"/>
      <x:c r="U27" s="57"/>
      <x:c r="V27" s="57"/>
      <x:c r="W27" s="57"/>
      <x:c r="X27" s="53"/>
      <x:c r="Y27" s="56"/>
      <x:c r="Z27" s="95"/>
      <x:c r="AA27" s="57"/>
      <x:c r="AB27" s="57"/>
      <x:c r="AC27" s="57"/>
    </x:row>
    <x:row r="28">
      <x:c r="A28" s="66" t="str">
        <x:v>GERAL</x:v>
      </x:c>
      <x:c r="B28" s="96" t="n">
        <x:f>'Base longa'!G25</x:f>
        <x:v>23</x:v>
      </x:c>
      <x:c r="C28" s="69" t="n">
        <x:f>'Base longa'!K25</x:f>
        <x:v>426.3</x:v>
      </x:c>
      <x:c r="D28" s="69" t="n">
        <x:f>'Base longa'!L25</x:f>
        <x:v>464.1</x:v>
      </x:c>
      <x:c r="E28" s="69" t="n">
        <x:f>'Base longa'!M25</x:f>
        <x:v>501.9</x:v>
      </x:c>
      <x:c r="F28" s="53"/>
      <x:c r="G28" s="66"/>
      <x:c r="H28" s="96"/>
      <x:c r="I28" s="69"/>
      <x:c r="J28" s="69"/>
      <x:c r="K28" s="69"/>
      <x:c r="L28" s="53"/>
      <x:c r="M28" s="66"/>
      <x:c r="N28" s="96"/>
      <x:c r="O28" s="69"/>
      <x:c r="P28" s="69"/>
      <x:c r="Q28" s="69"/>
      <x:c r="R28" s="53"/>
      <x:c r="S28" s="66"/>
      <x:c r="T28" s="96"/>
      <x:c r="U28" s="69"/>
      <x:c r="V28" s="69"/>
      <x:c r="W28" s="69"/>
      <x:c r="X28" s="53"/>
      <x:c r="Y28" s="66"/>
      <x:c r="Z28" s="96"/>
      <x:c r="AA28" s="69"/>
      <x:c r="AB28" s="69"/>
      <x:c r="AC28" s="69"/>
    </x:row>
    <x:row r="29">
      <x:c r="A29" s="56" t="str">
        <x:v>GERAL</x:v>
      </x:c>
      <x:c r="B29" s="95" t="n">
        <x:f>'Base longa'!G26</x:f>
        <x:v>24</x:v>
      </x:c>
      <x:c r="C29" s="57" t="n">
        <x:f>'Base longa'!K26</x:f>
        <x:v>444</x:v>
      </x:c>
      <x:c r="D29" s="57" t="n">
        <x:f>'Base longa'!L26</x:f>
        <x:v>482</x:v>
      </x:c>
      <x:c r="E29" s="57" t="n">
        <x:f>'Base longa'!M26</x:f>
        <x:v>520</x:v>
      </x:c>
      <x:c r="F29" s="53"/>
      <x:c r="G29" s="56"/>
      <x:c r="H29" s="95"/>
      <x:c r="I29" s="57"/>
      <x:c r="J29" s="57"/>
      <x:c r="K29" s="57"/>
      <x:c r="L29" s="53"/>
      <x:c r="M29" s="56"/>
      <x:c r="N29" s="95"/>
      <x:c r="O29" s="57"/>
      <x:c r="P29" s="57"/>
      <x:c r="Q29" s="57"/>
      <x:c r="R29" s="53"/>
      <x:c r="S29" s="56"/>
      <x:c r="T29" s="95"/>
      <x:c r="U29" s="57"/>
      <x:c r="V29" s="57"/>
      <x:c r="W29" s="57"/>
      <x:c r="X29" s="53"/>
      <x:c r="Y29" s="56"/>
      <x:c r="Z29" s="95"/>
      <x:c r="AA29" s="57"/>
      <x:c r="AB29" s="57"/>
      <x:c r="AC29" s="57"/>
    </x:row>
    <x:row r="30">
      <x:c r="A30" s="66" t="str">
        <x:v>GERAL</x:v>
      </x:c>
      <x:c r="B30" s="96" t="n">
        <x:f>'Base longa'!G27</x:f>
        <x:v>25</x:v>
      </x:c>
      <x:c r="C30" s="69" t="n">
        <x:f>'Base longa'!K27</x:f>
        <x:v>462</x:v>
      </x:c>
      <x:c r="D30" s="69" t="n">
        <x:f>'Base longa'!L27</x:f>
        <x:v>500</x:v>
      </x:c>
      <x:c r="E30" s="69" t="n">
        <x:f>'Base longa'!M27</x:f>
        <x:v>538</x:v>
      </x:c>
      <x:c r="F30" s="53"/>
      <x:c r="G30" s="66"/>
      <x:c r="H30" s="96"/>
      <x:c r="I30" s="69"/>
      <x:c r="J30" s="69"/>
      <x:c r="K30" s="69"/>
      <x:c r="L30" s="53"/>
      <x:c r="M30" s="66"/>
      <x:c r="N30" s="96"/>
      <x:c r="O30" s="69"/>
      <x:c r="P30" s="69"/>
      <x:c r="Q30" s="69"/>
      <x:c r="R30" s="53"/>
      <x:c r="S30" s="66"/>
      <x:c r="T30" s="96"/>
      <x:c r="U30" s="69"/>
      <x:c r="V30" s="69"/>
      <x:c r="W30" s="69"/>
      <x:c r="X30" s="53"/>
      <x:c r="Y30" s="66"/>
      <x:c r="Z30" s="96"/>
      <x:c r="AA30" s="69"/>
      <x:c r="AB30" s="69"/>
      <x:c r="AC30" s="69"/>
    </x:row>
    <x:row r="31">
      <x:c r="A31" s="56" t="str">
        <x:v>GERAL</x:v>
      </x:c>
      <x:c r="B31" s="95" t="n">
        <x:f>'Base longa'!G28</x:f>
        <x:v>26</x:v>
      </x:c>
      <x:c r="C31" s="57" t="n">
        <x:f>'Base longa'!K28</x:f>
        <x:v>480</x:v>
      </x:c>
      <x:c r="D31" s="57" t="n">
        <x:f>'Base longa'!L28</x:f>
        <x:v>518</x:v>
      </x:c>
      <x:c r="E31" s="57" t="n">
        <x:f>'Base longa'!M28</x:f>
        <x:v>556</x:v>
      </x:c>
      <x:c r="F31" s="53"/>
      <x:c r="G31" s="56"/>
      <x:c r="H31" s="95"/>
      <x:c r="I31" s="57"/>
      <x:c r="J31" s="57"/>
      <x:c r="K31" s="57"/>
      <x:c r="L31" s="53"/>
      <x:c r="M31" s="56"/>
      <x:c r="N31" s="95"/>
      <x:c r="O31" s="57"/>
      <x:c r="P31" s="57"/>
      <x:c r="Q31" s="57"/>
      <x:c r="R31" s="53"/>
      <x:c r="S31" s="56"/>
      <x:c r="T31" s="95"/>
      <x:c r="U31" s="57"/>
      <x:c r="V31" s="57"/>
      <x:c r="W31" s="57"/>
      <x:c r="X31" s="53"/>
      <x:c r="Y31" s="56"/>
      <x:c r="Z31" s="95"/>
      <x:c r="AA31" s="57"/>
      <x:c r="AB31" s="57"/>
      <x:c r="AC31" s="57"/>
    </x:row>
    <x:row r="32">
      <x:c r="A32" s="66" t="str">
        <x:v>GERAL</x:v>
      </x:c>
      <x:c r="B32" s="96" t="n">
        <x:f>'Base longa'!G29</x:f>
        <x:v>27</x:v>
      </x:c>
      <x:c r="C32" s="69" t="n">
        <x:f>'Base longa'!K29</x:f>
        <x:v>498.1</x:v>
      </x:c>
      <x:c r="D32" s="69" t="n">
        <x:f>'Base longa'!L29</x:f>
        <x:v>535.9</x:v>
      </x:c>
      <x:c r="E32" s="69" t="n">
        <x:f>'Base longa'!M29</x:f>
        <x:v>573.7</x:v>
      </x:c>
      <x:c r="F32" s="53"/>
      <x:c r="G32" s="66"/>
      <x:c r="H32" s="96"/>
      <x:c r="I32" s="69"/>
      <x:c r="J32" s="69"/>
      <x:c r="K32" s="69"/>
      <x:c r="L32" s="53"/>
      <x:c r="M32" s="66"/>
      <x:c r="N32" s="96"/>
      <x:c r="O32" s="69"/>
      <x:c r="P32" s="69"/>
      <x:c r="Q32" s="69"/>
      <x:c r="R32" s="53"/>
      <x:c r="S32" s="66"/>
      <x:c r="T32" s="96"/>
      <x:c r="U32" s="69"/>
      <x:c r="V32" s="69"/>
      <x:c r="W32" s="69"/>
      <x:c r="X32" s="53"/>
      <x:c r="Y32" s="66"/>
      <x:c r="Z32" s="96"/>
      <x:c r="AA32" s="69"/>
      <x:c r="AB32" s="69"/>
      <x:c r="AC32" s="69"/>
    </x:row>
    <x:row r="33">
      <x:c r="A33" s="56" t="str">
        <x:v>GERAL</x:v>
      </x:c>
      <x:c r="B33" s="95" t="n">
        <x:f>'Base longa'!G30</x:f>
        <x:v>28</x:v>
      </x:c>
      <x:c r="C33" s="57" t="n">
        <x:f>'Base longa'!K30</x:f>
        <x:v>516.2</x:v>
      </x:c>
      <x:c r="D33" s="57" t="n">
        <x:f>'Base longa'!L30</x:f>
        <x:v>553.7</x:v>
      </x:c>
      <x:c r="E33" s="57" t="n">
        <x:f>'Base longa'!M30</x:f>
        <x:v>591.2</x:v>
      </x:c>
      <x:c r="F33" s="53"/>
      <x:c r="G33" s="56"/>
      <x:c r="H33" s="95"/>
      <x:c r="I33" s="57"/>
      <x:c r="J33" s="57"/>
      <x:c r="K33" s="57"/>
      <x:c r="L33" s="53"/>
      <x:c r="M33" s="56"/>
      <x:c r="N33" s="95"/>
      <x:c r="O33" s="57"/>
      <x:c r="P33" s="57"/>
      <x:c r="Q33" s="57"/>
      <x:c r="R33" s="53"/>
      <x:c r="S33" s="56"/>
      <x:c r="T33" s="95"/>
      <x:c r="U33" s="57"/>
      <x:c r="V33" s="57"/>
      <x:c r="W33" s="57"/>
      <x:c r="X33" s="53"/>
      <x:c r="Y33" s="56"/>
      <x:c r="Z33" s="95"/>
      <x:c r="AA33" s="57"/>
      <x:c r="AB33" s="57"/>
      <x:c r="AC33" s="57"/>
    </x:row>
    <x:row r="34">
      <x:c r="A34" s="66" t="str">
        <x:v>GERAL</x:v>
      </x:c>
      <x:c r="B34" s="96" t="n">
        <x:f>'Base longa'!G31</x:f>
        <x:v>29</x:v>
      </x:c>
      <x:c r="C34" s="69" t="n">
        <x:f>'Base longa'!K31</x:f>
        <x:v>534.4</x:v>
      </x:c>
      <x:c r="D34" s="69" t="n">
        <x:f>'Base longa'!L31</x:f>
        <x:v>571.4</x:v>
      </x:c>
      <x:c r="E34" s="69" t="n">
        <x:f>'Base longa'!M31</x:f>
        <x:v>608.4</x:v>
      </x:c>
      <x:c r="F34" s="53"/>
      <x:c r="G34" s="66"/>
      <x:c r="H34" s="96"/>
      <x:c r="I34" s="69"/>
      <x:c r="J34" s="69"/>
      <x:c r="K34" s="69"/>
      <x:c r="L34" s="53"/>
      <x:c r="M34" s="66"/>
      <x:c r="N34" s="96"/>
      <x:c r="O34" s="69"/>
      <x:c r="P34" s="69"/>
      <x:c r="Q34" s="69"/>
      <x:c r="R34" s="53"/>
      <x:c r="S34" s="66"/>
      <x:c r="T34" s="96"/>
      <x:c r="U34" s="69"/>
      <x:c r="V34" s="69"/>
      <x:c r="W34" s="69"/>
      <x:c r="X34" s="53"/>
      <x:c r="Y34" s="66"/>
      <x:c r="Z34" s="96"/>
      <x:c r="AA34" s="69"/>
      <x:c r="AB34" s="69"/>
      <x:c r="AC34" s="69"/>
    </x:row>
    <x:row r="35">
      <x:c r="A35" s="56" t="str">
        <x:v>GERAL</x:v>
      </x:c>
      <x:c r="B35" s="95" t="n">
        <x:f>'Base longa'!G32</x:f>
        <x:v>30</x:v>
      </x:c>
      <x:c r="C35" s="57" t="n">
        <x:f>'Base longa'!K32</x:f>
        <x:v>552.3</x:v>
      </x:c>
      <x:c r="D35" s="57" t="n">
        <x:f>'Base longa'!L32</x:f>
        <x:v>588.8</x:v>
      </x:c>
      <x:c r="E35" s="57" t="n">
        <x:f>'Base longa'!M32</x:f>
        <x:v>625.3</x:v>
      </x:c>
      <x:c r="F35" s="53"/>
      <x:c r="G35" s="56"/>
      <x:c r="H35" s="95"/>
      <x:c r="I35" s="57"/>
      <x:c r="J35" s="57"/>
      <x:c r="K35" s="57"/>
      <x:c r="L35" s="53"/>
      <x:c r="M35" s="56"/>
      <x:c r="N35" s="95"/>
      <x:c r="O35" s="57"/>
      <x:c r="P35" s="57"/>
      <x:c r="Q35" s="57"/>
      <x:c r="R35" s="53"/>
      <x:c r="S35" s="56"/>
      <x:c r="T35" s="95"/>
      <x:c r="U35" s="57"/>
      <x:c r="V35" s="57"/>
      <x:c r="W35" s="57"/>
      <x:c r="X35" s="53"/>
      <x:c r="Y35" s="56"/>
      <x:c r="Z35" s="95"/>
      <x:c r="AA35" s="57"/>
      <x:c r="AB35" s="57"/>
      <x:c r="AC35" s="57"/>
    </x:row>
    <x:row r="36">
      <x:c r="A36" s="66" t="str">
        <x:v>GERAL</x:v>
      </x:c>
      <x:c r="B36" s="96" t="n">
        <x:f>'Base longa'!G33</x:f>
        <x:v>31</x:v>
      </x:c>
      <x:c r="C36" s="69" t="n">
        <x:f>'Base longa'!K33</x:f>
        <x:v>570.1</x:v>
      </x:c>
      <x:c r="D36" s="69" t="n">
        <x:f>'Base longa'!L33</x:f>
        <x:v>605.9</x:v>
      </x:c>
      <x:c r="E36" s="69" t="n">
        <x:f>'Base longa'!M33</x:f>
        <x:v>641.7</x:v>
      </x:c>
      <x:c r="F36" s="53"/>
      <x:c r="G36" s="66"/>
      <x:c r="H36" s="96"/>
      <x:c r="I36" s="69"/>
      <x:c r="J36" s="69"/>
      <x:c r="K36" s="69"/>
      <x:c r="L36" s="53"/>
      <x:c r="M36" s="66"/>
      <x:c r="N36" s="96"/>
      <x:c r="O36" s="69"/>
      <x:c r="P36" s="69"/>
      <x:c r="Q36" s="69"/>
      <x:c r="R36" s="53"/>
      <x:c r="S36" s="66"/>
      <x:c r="T36" s="96"/>
      <x:c r="U36" s="69"/>
      <x:c r="V36" s="69"/>
      <x:c r="W36" s="69"/>
      <x:c r="X36" s="53"/>
      <x:c r="Y36" s="66"/>
      <x:c r="Z36" s="96"/>
      <x:c r="AA36" s="69"/>
      <x:c r="AB36" s="69"/>
      <x:c r="AC36" s="69"/>
    </x:row>
    <x:row r="37">
      <x:c r="A37" s="56" t="str">
        <x:v>GERAL</x:v>
      </x:c>
      <x:c r="B37" s="95" t="n">
        <x:f>'Base longa'!G34</x:f>
        <x:v>32</x:v>
      </x:c>
      <x:c r="C37" s="57" t="n">
        <x:f>'Base longa'!K34</x:f>
        <x:v>587.7</x:v>
      </x:c>
      <x:c r="D37" s="57" t="n">
        <x:f>'Base longa'!L34</x:f>
        <x:v>622.7</x:v>
      </x:c>
      <x:c r="E37" s="57" t="n">
        <x:f>'Base longa'!M34</x:f>
        <x:v>657.7</x:v>
      </x:c>
      <x:c r="F37" s="53"/>
      <x:c r="G37" s="56"/>
      <x:c r="H37" s="95"/>
      <x:c r="I37" s="57"/>
      <x:c r="J37" s="57"/>
      <x:c r="K37" s="57"/>
      <x:c r="L37" s="53"/>
      <x:c r="M37" s="56"/>
      <x:c r="N37" s="95"/>
      <x:c r="O37" s="57"/>
      <x:c r="P37" s="57"/>
      <x:c r="Q37" s="57"/>
      <x:c r="R37" s="53"/>
      <x:c r="S37" s="56"/>
      <x:c r="T37" s="95"/>
      <x:c r="U37" s="57"/>
      <x:c r="V37" s="57"/>
      <x:c r="W37" s="57"/>
      <x:c r="X37" s="53"/>
      <x:c r="Y37" s="56"/>
      <x:c r="Z37" s="95"/>
      <x:c r="AA37" s="57"/>
      <x:c r="AB37" s="57"/>
      <x:c r="AC37" s="57"/>
    </x:row>
    <x:row r="38">
      <x:c r="A38" s="66" t="str">
        <x:v>GERAL</x:v>
      </x:c>
      <x:c r="B38" s="96" t="n">
        <x:f>'Base longa'!G35</x:f>
        <x:v>33</x:v>
      </x:c>
      <x:c r="C38" s="69" t="n">
        <x:f>'Base longa'!K35</x:f>
        <x:v>605</x:v>
      </x:c>
      <x:c r="D38" s="69" t="n">
        <x:f>'Base longa'!L35</x:f>
        <x:v>639.1</x:v>
      </x:c>
      <x:c r="E38" s="69" t="n">
        <x:f>'Base longa'!M35</x:f>
        <x:v>673.2</x:v>
      </x:c>
      <x:c r="F38" s="53"/>
      <x:c r="G38" s="66"/>
      <x:c r="H38" s="96"/>
      <x:c r="I38" s="69"/>
      <x:c r="J38" s="69"/>
      <x:c r="K38" s="69"/>
      <x:c r="L38" s="53"/>
      <x:c r="M38" s="66"/>
      <x:c r="N38" s="96"/>
      <x:c r="O38" s="69"/>
      <x:c r="P38" s="69"/>
      <x:c r="Q38" s="69"/>
      <x:c r="R38" s="53"/>
      <x:c r="S38" s="66"/>
      <x:c r="T38" s="96"/>
      <x:c r="U38" s="69"/>
      <x:c r="V38" s="69"/>
      <x:c r="W38" s="69"/>
      <x:c r="X38" s="53"/>
      <x:c r="Y38" s="66"/>
      <x:c r="Z38" s="96"/>
      <x:c r="AA38" s="69"/>
      <x:c r="AB38" s="69"/>
      <x:c r="AC38" s="69"/>
    </x:row>
    <x:row r="39">
      <x:c r="A39" s="56" t="str">
        <x:v>GERAL</x:v>
      </x:c>
      <x:c r="B39" s="95" t="n">
        <x:f>'Base longa'!G36</x:f>
        <x:v>34</x:v>
      </x:c>
      <x:c r="C39" s="57" t="n">
        <x:f>'Base longa'!K36</x:f>
        <x:v>621.9</x:v>
      </x:c>
      <x:c r="D39" s="57" t="n">
        <x:f>'Base longa'!L36</x:f>
        <x:v>655</x:v>
      </x:c>
      <x:c r="E39" s="57" t="n">
        <x:f>'Base longa'!M36</x:f>
        <x:v>688.1</x:v>
      </x:c>
      <x:c r="F39" s="53"/>
      <x:c r="G39" s="56"/>
      <x:c r="H39" s="95"/>
      <x:c r="I39" s="57"/>
      <x:c r="J39" s="57"/>
      <x:c r="K39" s="57"/>
      <x:c r="L39" s="53"/>
      <x:c r="M39" s="56"/>
      <x:c r="N39" s="95"/>
      <x:c r="O39" s="57"/>
      <x:c r="P39" s="57"/>
      <x:c r="Q39" s="57"/>
      <x:c r="R39" s="53"/>
      <x:c r="S39" s="56"/>
      <x:c r="T39" s="95"/>
      <x:c r="U39" s="57"/>
      <x:c r="V39" s="57"/>
      <x:c r="W39" s="57"/>
      <x:c r="X39" s="53"/>
      <x:c r="Y39" s="56"/>
      <x:c r="Z39" s="95"/>
      <x:c r="AA39" s="57"/>
      <x:c r="AB39" s="57"/>
      <x:c r="AC39" s="57"/>
    </x:row>
    <x:row r="40">
      <x:c r="A40" s="66" t="str">
        <x:v>GERAL</x:v>
      </x:c>
      <x:c r="B40" s="96" t="n">
        <x:f>'Base longa'!G37</x:f>
        <x:v>35</x:v>
      </x:c>
      <x:c r="C40" s="69" t="n">
        <x:f>'Base longa'!K37</x:f>
        <x:v>638.5</x:v>
      </x:c>
      <x:c r="D40" s="69" t="n">
        <x:f>'Base longa'!L37</x:f>
        <x:v>670.4</x:v>
      </x:c>
      <x:c r="E40" s="69" t="n">
        <x:f>'Base longa'!M37</x:f>
        <x:v>702.3</x:v>
      </x:c>
      <x:c r="F40" s="53"/>
      <x:c r="G40" s="66"/>
      <x:c r="H40" s="96"/>
      <x:c r="I40" s="69"/>
      <x:c r="J40" s="69"/>
      <x:c r="K40" s="69"/>
      <x:c r="L40" s="53"/>
      <x:c r="M40" s="66"/>
      <x:c r="N40" s="96"/>
      <x:c r="O40" s="69"/>
      <x:c r="P40" s="69"/>
      <x:c r="Q40" s="69"/>
      <x:c r="R40" s="53"/>
      <x:c r="S40" s="66"/>
      <x:c r="T40" s="96"/>
      <x:c r="U40" s="69"/>
      <x:c r="V40" s="69"/>
      <x:c r="W40" s="69"/>
      <x:c r="X40" s="53"/>
      <x:c r="Y40" s="66"/>
      <x:c r="Z40" s="96"/>
      <x:c r="AA40" s="69"/>
      <x:c r="AB40" s="69"/>
      <x:c r="AC40" s="69"/>
    </x:row>
    <x:row r="41">
      <x:c r="A41" s="56" t="str">
        <x:v>GERAL</x:v>
      </x:c>
      <x:c r="B41" s="95" t="n">
        <x:f>'Base longa'!G38</x:f>
        <x:v>36</x:v>
      </x:c>
      <x:c r="C41" s="57" t="n">
        <x:f>'Base longa'!K38</x:f>
        <x:v>654.5</x:v>
      </x:c>
      <x:c r="D41" s="57" t="n">
        <x:f>'Base longa'!L38</x:f>
        <x:v>685.2</x:v>
      </x:c>
      <x:c r="E41" s="57" t="n">
        <x:f>'Base longa'!M38</x:f>
        <x:v>715.9</x:v>
      </x:c>
      <x:c r="F41" s="53"/>
      <x:c r="G41" s="56"/>
      <x:c r="H41" s="95"/>
      <x:c r="I41" s="57"/>
      <x:c r="J41" s="57"/>
      <x:c r="K41" s="57"/>
      <x:c r="L41" s="53"/>
      <x:c r="M41" s="56"/>
      <x:c r="N41" s="95"/>
      <x:c r="O41" s="57"/>
      <x:c r="P41" s="57"/>
      <x:c r="Q41" s="57"/>
      <x:c r="R41" s="53"/>
      <x:c r="S41" s="56"/>
      <x:c r="T41" s="95"/>
      <x:c r="U41" s="57"/>
      <x:c r="V41" s="57"/>
      <x:c r="W41" s="57"/>
      <x:c r="X41" s="53"/>
      <x:c r="Y41" s="56"/>
      <x:c r="Z41" s="95"/>
      <x:c r="AA41" s="57"/>
      <x:c r="AB41" s="57"/>
      <x:c r="AC41" s="57"/>
    </x:row>
    <x:row r="42">
      <x:c r="A42" s="66" t="str">
        <x:v>GERAL</x:v>
      </x:c>
      <x:c r="B42" s="96" t="n">
        <x:f>'Base longa'!G39</x:f>
        <x:v>37</x:v>
      </x:c>
      <x:c r="C42" s="69" t="n">
        <x:f>'Base longa'!K39</x:f>
        <x:v>670.1</x:v>
      </x:c>
      <x:c r="D42" s="69" t="n">
        <x:f>'Base longa'!L39</x:f>
        <x:v>699.4</x:v>
      </x:c>
      <x:c r="E42" s="69" t="n">
        <x:f>'Base longa'!M39</x:f>
        <x:v>728.7</x:v>
      </x:c>
      <x:c r="F42" s="53"/>
      <x:c r="G42" s="66"/>
      <x:c r="H42" s="96"/>
      <x:c r="I42" s="69"/>
      <x:c r="J42" s="69"/>
      <x:c r="K42" s="69"/>
      <x:c r="L42" s="53"/>
      <x:c r="M42" s="66"/>
      <x:c r="N42" s="96"/>
      <x:c r="O42" s="69"/>
      <x:c r="P42" s="69"/>
      <x:c r="Q42" s="69"/>
      <x:c r="R42" s="53"/>
      <x:c r="S42" s="66"/>
      <x:c r="T42" s="96"/>
      <x:c r="U42" s="69"/>
      <x:c r="V42" s="69"/>
      <x:c r="W42" s="69"/>
      <x:c r="X42" s="53"/>
      <x:c r="Y42" s="66"/>
      <x:c r="Z42" s="96"/>
      <x:c r="AA42" s="69"/>
      <x:c r="AB42" s="69"/>
      <x:c r="AC42" s="69"/>
    </x:row>
    <x:row r="43">
      <x:c r="A43" s="56" t="str">
        <x:v>GERAL</x:v>
      </x:c>
      <x:c r="B43" s="95" t="n">
        <x:f>'Base longa'!G40</x:f>
        <x:v>38</x:v>
      </x:c>
      <x:c r="C43" s="57" t="n">
        <x:f>'Base longa'!K40</x:f>
        <x:v>685.2</x:v>
      </x:c>
      <x:c r="D43" s="57" t="n">
        <x:f>'Base longa'!L40</x:f>
        <x:v>712.9</x:v>
      </x:c>
      <x:c r="E43" s="57" t="n">
        <x:f>'Base longa'!M40</x:f>
        <x:v>740.6</x:v>
      </x:c>
      <x:c r="F43" s="53"/>
      <x:c r="G43" s="56"/>
      <x:c r="H43" s="95"/>
      <x:c r="I43" s="57"/>
      <x:c r="J43" s="57"/>
      <x:c r="K43" s="57"/>
      <x:c r="L43" s="53"/>
      <x:c r="M43" s="56"/>
      <x:c r="N43" s="95"/>
      <x:c r="O43" s="57"/>
      <x:c r="P43" s="57"/>
      <x:c r="Q43" s="57"/>
      <x:c r="R43" s="53"/>
      <x:c r="S43" s="56"/>
      <x:c r="T43" s="95"/>
      <x:c r="U43" s="57"/>
      <x:c r="V43" s="57"/>
      <x:c r="W43" s="57"/>
      <x:c r="X43" s="53"/>
      <x:c r="Y43" s="56"/>
      <x:c r="Z43" s="95"/>
      <x:c r="AA43" s="57"/>
      <x:c r="AB43" s="57"/>
      <x:c r="AC43" s="57"/>
    </x:row>
    <x:row r="44">
      <x:c r="A44" s="66" t="str">
        <x:v>GERAL</x:v>
      </x:c>
      <x:c r="B44" s="96" t="n">
        <x:f>'Base longa'!G41</x:f>
        <x:v>39</x:v>
      </x:c>
      <x:c r="C44" s="69" t="n">
        <x:f>'Base longa'!K41</x:f>
        <x:v>699.6</x:v>
      </x:c>
      <x:c r="D44" s="69" t="n">
        <x:f>'Base longa'!L41</x:f>
        <x:v>725.7</x:v>
      </x:c>
      <x:c r="E44" s="69" t="n">
        <x:f>'Base longa'!M41</x:f>
        <x:v>751.8</x:v>
      </x:c>
      <x:c r="F44" s="53"/>
      <x:c r="G44" s="66"/>
      <x:c r="H44" s="96"/>
      <x:c r="I44" s="69"/>
      <x:c r="J44" s="69"/>
      <x:c r="K44" s="69"/>
      <x:c r="L44" s="53"/>
      <x:c r="M44" s="66"/>
      <x:c r="N44" s="96"/>
      <x:c r="O44" s="69"/>
      <x:c r="P44" s="69"/>
      <x:c r="Q44" s="69"/>
      <x:c r="R44" s="53"/>
      <x:c r="S44" s="66"/>
      <x:c r="T44" s="96"/>
      <x:c r="U44" s="69"/>
      <x:c r="V44" s="69"/>
      <x:c r="W44" s="69"/>
      <x:c r="X44" s="53"/>
      <x:c r="Y44" s="66"/>
      <x:c r="Z44" s="96"/>
      <x:c r="AA44" s="69"/>
      <x:c r="AB44" s="69"/>
      <x:c r="AC44" s="69"/>
    </x:row>
    <x:row r="45">
      <x:c r="A45" s="56" t="str">
        <x:v>GERAL</x:v>
      </x:c>
      <x:c r="B45" s="95" t="n">
        <x:f>'Base longa'!G42</x:f>
        <x:v>40</x:v>
      </x:c>
      <x:c r="C45" s="57" t="n">
        <x:f>'Base longa'!K42</x:f>
        <x:v>713.3</x:v>
      </x:c>
      <x:c r="D45" s="57" t="n">
        <x:f>'Base longa'!L42</x:f>
        <x:v>737.6</x:v>
      </x:c>
      <x:c r="E45" s="57" t="n">
        <x:f>'Base longa'!M42</x:f>
        <x:v>761.9</x:v>
      </x:c>
      <x:c r="F45" s="53"/>
      <x:c r="G45" s="56"/>
      <x:c r="H45" s="95"/>
      <x:c r="I45" s="57"/>
      <x:c r="J45" s="57"/>
      <x:c r="K45" s="57"/>
      <x:c r="L45" s="53"/>
      <x:c r="M45" s="56"/>
      <x:c r="N45" s="95"/>
      <x:c r="O45" s="57"/>
      <x:c r="P45" s="57"/>
      <x:c r="Q45" s="57"/>
      <x:c r="R45" s="53"/>
      <x:c r="S45" s="56"/>
      <x:c r="T45" s="95"/>
      <x:c r="U45" s="57"/>
      <x:c r="V45" s="57"/>
      <x:c r="W45" s="57"/>
      <x:c r="X45" s="53"/>
      <x:c r="Y45" s="56"/>
      <x:c r="Z45" s="95"/>
      <x:c r="AA45" s="57"/>
      <x:c r="AB45" s="57"/>
      <x:c r="AC45" s="57"/>
    </x:row>
    <x:row r="46">
      <x:c r="A46" s="66" t="str">
        <x:v>GERAL</x:v>
      </x:c>
      <x:c r="B46" s="96" t="n">
        <x:f>'Base longa'!G43</x:f>
        <x:v>41</x:v>
      </x:c>
      <x:c r="C46" s="69" t="n">
        <x:f>'Base longa'!K43</x:f>
        <x:v>726.3</x:v>
      </x:c>
      <x:c r="D46" s="69" t="n">
        <x:f>'Base longa'!L43</x:f>
        <x:v>748.7</x:v>
      </x:c>
      <x:c r="E46" s="69" t="n">
        <x:f>'Base longa'!M43</x:f>
        <x:v>771.1</x:v>
      </x:c>
      <x:c r="F46" s="53"/>
      <x:c r="G46" s="66"/>
      <x:c r="H46" s="96"/>
      <x:c r="I46" s="69"/>
      <x:c r="J46" s="69"/>
      <x:c r="K46" s="69"/>
      <x:c r="L46" s="53"/>
      <x:c r="M46" s="66"/>
      <x:c r="N46" s="96"/>
      <x:c r="O46" s="69"/>
      <x:c r="P46" s="69"/>
      <x:c r="Q46" s="69"/>
      <x:c r="R46" s="53"/>
      <x:c r="S46" s="66"/>
      <x:c r="T46" s="96"/>
      <x:c r="U46" s="69"/>
      <x:c r="V46" s="69"/>
      <x:c r="W46" s="69"/>
      <x:c r="X46" s="53"/>
      <x:c r="Y46" s="66"/>
      <x:c r="Z46" s="96"/>
      <x:c r="AA46" s="69"/>
      <x:c r="AB46" s="69"/>
      <x:c r="AC46" s="69"/>
    </x:row>
    <x:row r="47">
      <x:c r="A47" s="56" t="str">
        <x:v>GERAL</x:v>
      </x:c>
      <x:c r="B47" s="95" t="n">
        <x:f>'Base longa'!G44</x:f>
        <x:v>42</x:v>
      </x:c>
      <x:c r="C47" s="57" t="n">
        <x:f>'Base longa'!K44</x:f>
        <x:v>738.4</x:v>
      </x:c>
      <x:c r="D47" s="57" t="n">
        <x:f>'Base longa'!L44</x:f>
        <x:v>758.8</x:v>
      </x:c>
      <x:c r="E47" s="57" t="n">
        <x:f>'Base longa'!M44</x:f>
        <x:v>779.2</x:v>
      </x:c>
      <x:c r="F47" s="53"/>
      <x:c r="G47" s="56"/>
      <x:c r="H47" s="95"/>
      <x:c r="I47" s="57"/>
      <x:c r="J47" s="57"/>
      <x:c r="K47" s="57"/>
      <x:c r="L47" s="53"/>
      <x:c r="M47" s="56"/>
      <x:c r="N47" s="95"/>
      <x:c r="O47" s="57"/>
      <x:c r="P47" s="57"/>
      <x:c r="Q47" s="57"/>
      <x:c r="R47" s="53"/>
      <x:c r="S47" s="56"/>
      <x:c r="T47" s="95"/>
      <x:c r="U47" s="57"/>
      <x:c r="V47" s="57"/>
      <x:c r="W47" s="57"/>
      <x:c r="X47" s="53"/>
      <x:c r="Y47" s="56"/>
      <x:c r="Z47" s="95"/>
      <x:c r="AA47" s="57"/>
      <x:c r="AB47" s="57"/>
      <x:c r="AC47" s="57"/>
    </x:row>
    <x:row r="48">
      <x:c r="A48" s="66" t="str">
        <x:v>GERAL</x:v>
      </x:c>
      <x:c r="B48" s="96" t="n">
        <x:f>'Base longa'!G45</x:f>
        <x:v>43</x:v>
      </x:c>
      <x:c r="C48" s="69" t="n">
        <x:f>'Base longa'!K45</x:f>
        <x:v>749.7</x:v>
      </x:c>
      <x:c r="D48" s="69" t="n">
        <x:f>'Base longa'!L45</x:f>
        <x:v>768</x:v>
      </x:c>
      <x:c r="E48" s="69" t="n">
        <x:f>'Base longa'!M45</x:f>
        <x:v>786.3</x:v>
      </x:c>
      <x:c r="F48" s="53"/>
      <x:c r="G48" s="66"/>
      <x:c r="H48" s="96"/>
      <x:c r="I48" s="69"/>
      <x:c r="J48" s="69"/>
      <x:c r="K48" s="69"/>
      <x:c r="L48" s="53"/>
      <x:c r="M48" s="66"/>
      <x:c r="N48" s="96"/>
      <x:c r="O48" s="69"/>
      <x:c r="P48" s="69"/>
      <x:c r="Q48" s="69"/>
      <x:c r="R48" s="53"/>
      <x:c r="S48" s="66"/>
      <x:c r="T48" s="96"/>
      <x:c r="U48" s="69"/>
      <x:c r="V48" s="69"/>
      <x:c r="W48" s="69"/>
      <x:c r="X48" s="53"/>
      <x:c r="Y48" s="66"/>
      <x:c r="Z48" s="96"/>
      <x:c r="AA48" s="69"/>
      <x:c r="AB48" s="69"/>
      <x:c r="AC48" s="69"/>
    </x:row>
    <x:row r="49">
      <x:c r="A49" s="56" t="str">
        <x:v>GERAL</x:v>
      </x:c>
      <x:c r="B49" s="95" t="n">
        <x:f>'Base longa'!G46</x:f>
        <x:v>44</x:v>
      </x:c>
      <x:c r="C49" s="57" t="n">
        <x:f>'Base longa'!K46</x:f>
        <x:v>760.1</x:v>
      </x:c>
      <x:c r="D49" s="57" t="n">
        <x:f>'Base longa'!L46</x:f>
        <x:v>776.2</x:v>
      </x:c>
      <x:c r="E49" s="57" t="n">
        <x:f>'Base longa'!M46</x:f>
        <x:v>792.3</x:v>
      </x:c>
      <x:c r="F49" s="53"/>
      <x:c r="G49" s="56"/>
      <x:c r="H49" s="95"/>
      <x:c r="I49" s="57"/>
      <x:c r="J49" s="57"/>
      <x:c r="K49" s="57"/>
      <x:c r="L49" s="53"/>
      <x:c r="M49" s="56"/>
      <x:c r="N49" s="95"/>
      <x:c r="O49" s="57"/>
      <x:c r="P49" s="57"/>
      <x:c r="Q49" s="57"/>
      <x:c r="R49" s="53"/>
      <x:c r="S49" s="56"/>
      <x:c r="T49" s="95"/>
      <x:c r="U49" s="57"/>
      <x:c r="V49" s="57"/>
      <x:c r="W49" s="57"/>
      <x:c r="X49" s="53"/>
      <x:c r="Y49" s="56"/>
      <x:c r="Z49" s="95"/>
      <x:c r="AA49" s="57"/>
      <x:c r="AB49" s="57"/>
      <x:c r="AC49" s="57"/>
    </x:row>
    <x:row r="50">
      <x:c r="A50" s="66" t="str">
        <x:v>GERAL</x:v>
      </x:c>
      <x:c r="B50" s="96" t="n">
        <x:f>'Base longa'!G47</x:f>
        <x:v>45</x:v>
      </x:c>
      <x:c r="C50" s="69" t="n">
        <x:f>'Base longa'!K47</x:f>
        <x:v>769.5</x:v>
      </x:c>
      <x:c r="D50" s="69" t="n">
        <x:f>'Base longa'!L47</x:f>
        <x:v>783.2</x:v>
      </x:c>
      <x:c r="E50" s="69" t="n">
        <x:f>'Base longa'!M47</x:f>
        <x:v>796.9</x:v>
      </x:c>
      <x:c r="F50" s="53"/>
      <x:c r="G50" s="66"/>
      <x:c r="H50" s="96"/>
      <x:c r="I50" s="69"/>
      <x:c r="J50" s="69"/>
      <x:c r="K50" s="69"/>
      <x:c r="L50" s="53"/>
      <x:c r="M50" s="66"/>
      <x:c r="N50" s="96"/>
      <x:c r="O50" s="69"/>
      <x:c r="P50" s="69"/>
      <x:c r="Q50" s="69"/>
      <x:c r="R50" s="53"/>
      <x:c r="S50" s="66"/>
      <x:c r="T50" s="96"/>
      <x:c r="U50" s="69"/>
      <x:c r="V50" s="69"/>
      <x:c r="W50" s="69"/>
      <x:c r="X50" s="53"/>
      <x:c r="Y50" s="66"/>
      <x:c r="Z50" s="96"/>
      <x:c r="AA50" s="69"/>
      <x:c r="AB50" s="69"/>
      <x:c r="AC50" s="69"/>
    </x:row>
    <x:row r="51">
      <x:c r="A51" s="56" t="str">
        <x:v>GERAL</x:v>
      </x:c>
      <x:c r="B51" s="95" t="n">
        <x:f>'Base longa'!G48</x:f>
        <x:v>46</x:v>
      </x:c>
      <x:c r="C51" s="57" t="n">
        <x:f>'Base longa'!K48</x:f>
        <x:v>777.9</x:v>
      </x:c>
      <x:c r="D51" s="57" t="n">
        <x:f>'Base longa'!L48</x:f>
        <x:v>789.1</x:v>
      </x:c>
      <x:c r="E51" s="57" t="n">
        <x:f>'Base longa'!M48</x:f>
        <x:v>800</x:v>
      </x:c>
      <x:c r="F51" s="53"/>
      <x:c r="G51" s="56"/>
      <x:c r="H51" s="95"/>
      <x:c r="I51" s="57"/>
      <x:c r="J51" s="57"/>
      <x:c r="K51" s="57"/>
      <x:c r="L51" s="53"/>
      <x:c r="M51" s="56"/>
      <x:c r="N51" s="95"/>
      <x:c r="O51" s="57"/>
      <x:c r="P51" s="57"/>
      <x:c r="Q51" s="57"/>
      <x:c r="R51" s="53"/>
      <x:c r="S51" s="56"/>
      <x:c r="T51" s="95"/>
      <x:c r="U51" s="57"/>
      <x:c r="V51" s="57"/>
      <x:c r="W51" s="57"/>
      <x:c r="X51" s="53"/>
      <x:c r="Y51" s="56"/>
      <x:c r="Z51" s="95"/>
      <x:c r="AA51" s="57"/>
      <x:c r="AB51" s="57"/>
      <x:c r="AC51" s="57"/>
    </x:row>
    <x:row r="52">
      <x:c r="A52" s="66" t="str">
        <x:v>GERAL</x:v>
      </x:c>
      <x:c r="B52" s="96" t="n">
        <x:f>'Base longa'!G49</x:f>
        <x:v>47</x:v>
      </x:c>
      <x:c r="C52" s="69" t="n">
        <x:f>'Base longa'!K49</x:f>
        <x:v>785.2</x:v>
      </x:c>
      <x:c r="D52" s="69" t="n">
        <x:f>'Base longa'!L49</x:f>
        <x:v>793.8</x:v>
      </x:c>
      <x:c r="E52" s="69" t="n">
        <x:f>'Base longa'!M49</x:f>
        <x:v>800</x:v>
      </x:c>
      <x:c r="F52" s="53"/>
      <x:c r="G52" s="66"/>
      <x:c r="H52" s="96"/>
      <x:c r="I52" s="69"/>
      <x:c r="J52" s="69"/>
      <x:c r="K52" s="69"/>
      <x:c r="L52" s="53"/>
      <x:c r="M52" s="66"/>
      <x:c r="N52" s="96"/>
      <x:c r="O52" s="69"/>
      <x:c r="P52" s="69"/>
      <x:c r="Q52" s="69"/>
      <x:c r="R52" s="53"/>
      <x:c r="S52" s="66"/>
      <x:c r="T52" s="96"/>
      <x:c r="U52" s="69"/>
      <x:c r="V52" s="69"/>
      <x:c r="W52" s="69"/>
      <x:c r="X52" s="53"/>
      <x:c r="Y52" s="66"/>
      <x:c r="Z52" s="96"/>
      <x:c r="AA52" s="69"/>
      <x:c r="AB52" s="69"/>
      <x:c r="AC52" s="69"/>
    </x:row>
    <x:row r="53">
      <x:c r="A53" s="56" t="str">
        <x:v>GERAL</x:v>
      </x:c>
      <x:c r="B53" s="95" t="n">
        <x:f>'Base longa'!G50</x:f>
        <x:v>48</x:v>
      </x:c>
      <x:c r="C53" s="57" t="n">
        <x:f>'Base longa'!K50</x:f>
        <x:v>791.4</x:v>
      </x:c>
      <x:c r="D53" s="57" t="n">
        <x:f>'Base longa'!L50</x:f>
        <x:v>797.2</x:v>
      </x:c>
      <x:c r="E53" s="57" t="n">
        <x:f>'Base longa'!M50</x:f>
        <x:v>800</x:v>
      </x:c>
      <x:c r="F53" s="53"/>
      <x:c r="G53" s="56"/>
      <x:c r="H53" s="95"/>
      <x:c r="I53" s="57"/>
      <x:c r="J53" s="57"/>
      <x:c r="K53" s="57"/>
      <x:c r="L53" s="53"/>
      <x:c r="M53" s="56"/>
      <x:c r="N53" s="95"/>
      <x:c r="O53" s="57"/>
      <x:c r="P53" s="57"/>
      <x:c r="Q53" s="57"/>
      <x:c r="R53" s="53"/>
      <x:c r="S53" s="56"/>
      <x:c r="T53" s="95"/>
      <x:c r="U53" s="57"/>
      <x:c r="V53" s="57"/>
      <x:c r="W53" s="57"/>
      <x:c r="X53" s="53"/>
      <x:c r="Y53" s="56"/>
      <x:c r="Z53" s="95"/>
      <x:c r="AA53" s="57"/>
      <x:c r="AB53" s="57"/>
      <x:c r="AC53" s="57"/>
    </x:row>
    <x:row r="54">
      <x:c r="A54" s="66" t="str">
        <x:v>GERAL</x:v>
      </x:c>
      <x:c r="B54" s="96" t="n">
        <x:f>'Base longa'!G51</x:f>
        <x:v>49</x:v>
      </x:c>
      <x:c r="C54" s="69" t="n">
        <x:f>'Base longa'!K51</x:f>
        <x:v>796.3</x:v>
      </x:c>
      <x:c r="D54" s="69" t="n">
        <x:f>'Base longa'!L51</x:f>
        <x:v>799.3</x:v>
      </x:c>
      <x:c r="E54" s="69" t="n">
        <x:f>'Base longa'!M51</x:f>
        <x:v>800</x:v>
      </x:c>
      <x:c r="F54" s="53"/>
      <x:c r="G54" s="66"/>
      <x:c r="H54" s="96"/>
      <x:c r="I54" s="69"/>
      <x:c r="J54" s="69"/>
      <x:c r="K54" s="69"/>
      <x:c r="L54" s="53"/>
      <x:c r="M54" s="66"/>
      <x:c r="N54" s="96"/>
      <x:c r="O54" s="69"/>
      <x:c r="P54" s="69"/>
      <x:c r="Q54" s="69"/>
      <x:c r="R54" s="53"/>
      <x:c r="S54" s="66"/>
      <x:c r="T54" s="96"/>
      <x:c r="U54" s="69"/>
      <x:c r="V54" s="69"/>
      <x:c r="W54" s="69"/>
      <x:c r="X54" s="53"/>
      <x:c r="Y54" s="66"/>
      <x:c r="Z54" s="96"/>
      <x:c r="AA54" s="69"/>
      <x:c r="AB54" s="69"/>
      <x:c r="AC54" s="69"/>
    </x:row>
    <x:row r="55">
      <x:c r="A55" s="56" t="str">
        <x:v>GERAL</x:v>
      </x:c>
      <x:c r="B55" s="95" t="n">
        <x:f>'Base longa'!G52</x:f>
        <x:v>50</x:v>
      </x:c>
      <x:c r="C55" s="57" t="n">
        <x:f>'Base longa'!K52</x:f>
        <x:v>800</x:v>
      </x:c>
      <x:c r="D55" s="57" t="n">
        <x:f>'Base longa'!L52</x:f>
        <x:v>800</x:v>
      </x:c>
      <x:c r="E55" s="57" t="n">
        <x:f>'Base longa'!M52</x:f>
        <x:v>800</x:v>
      </x:c>
      <x:c r="F55" s="53"/>
      <x:c r="G55" s="56"/>
      <x:c r="H55" s="95"/>
      <x:c r="I55" s="57"/>
      <x:c r="J55" s="57"/>
      <x:c r="K55" s="57"/>
      <x:c r="L55" s="53"/>
      <x:c r="M55" s="56"/>
      <x:c r="N55" s="95"/>
      <x:c r="O55" s="57"/>
      <x:c r="P55" s="57"/>
      <x:c r="Q55" s="57"/>
      <x:c r="R55" s="53"/>
      <x:c r="S55" s="56"/>
      <x:c r="T55" s="95"/>
      <x:c r="U55" s="57"/>
      <x:c r="V55" s="57"/>
      <x:c r="W55" s="57"/>
      <x:c r="X55" s="53"/>
      <x:c r="Y55" s="56"/>
      <x:c r="Z55" s="95"/>
      <x:c r="AA55" s="57"/>
      <x:c r="AB55" s="57"/>
      <x:c r="AC55" s="57"/>
    </x:row>
    <x:row r="56">
      <x:c r="A56" s="53"/>
      <x:c r="B56" s="53"/>
      <x:c r="C56" s="53"/>
      <x:c r="D56" s="53"/>
      <x:c r="E56" s="53"/>
      <x:c r="F56" s="53"/>
      <x:c r="G56" s="53"/>
      <x:c r="H56" s="53"/>
      <x:c r="I56" s="53"/>
      <x:c r="J56" s="53"/>
      <x:c r="K56" s="53"/>
      <x:c r="L56" s="53"/>
      <x:c r="M56" s="53"/>
      <x:c r="N56" s="53"/>
      <x:c r="O56" s="53"/>
      <x:c r="P56" s="53"/>
      <x:c r="Q56" s="53"/>
      <x:c r="R56" s="53"/>
      <x:c r="S56" s="53"/>
      <x:c r="T56" s="53"/>
      <x:c r="U56" s="53"/>
      <x:c r="V56" s="53"/>
      <x:c r="W56" s="53"/>
      <x:c r="X56" s="53"/>
      <x:c r="Y56" s="53"/>
      <x:c r="Z56" s="53"/>
      <x:c r="AA56" s="53"/>
      <x:c r="AB56" s="53"/>
      <x:c r="AC56" s="53"/>
    </x:row>
    <x:row r="57">
      <x:c r="A57" s="53"/>
      <x:c r="B57" s="53"/>
      <x:c r="C57" s="53"/>
      <x:c r="D57" s="53"/>
      <x:c r="E57" s="53"/>
      <x:c r="F57" s="53"/>
      <x:c r="G57" s="53"/>
      <x:c r="H57" s="53"/>
      <x:c r="I57" s="53"/>
      <x:c r="J57" s="53"/>
      <x:c r="K57" s="53"/>
      <x:c r="L57" s="53"/>
      <x:c r="M57" s="53"/>
      <x:c r="N57" s="53"/>
      <x:c r="O57" s="53"/>
      <x:c r="P57" s="53"/>
      <x:c r="Q57" s="53"/>
      <x:c r="R57" s="53"/>
      <x:c r="S57" s="53"/>
      <x:c r="T57" s="53"/>
      <x:c r="U57" s="53"/>
      <x:c r="V57" s="53"/>
      <x:c r="W57" s="53"/>
      <x:c r="X57" s="53"/>
      <x:c r="Y57" s="53"/>
      <x:c r="Z57" s="53"/>
      <x:c r="AA57" s="53"/>
      <x:c r="AB57" s="53"/>
      <x:c r="AC57" s="53"/>
    </x:row>
    <x:row r="58" ht="28" customHeight="1">
      <x:c r="A58" s="97" t="str">
        <x:v>LEITURA: a mesma quantidade de acertos pode gerar resultados distintos conforme a dificuldade e a coerência do padrão de respostas. Por isso, mínimo e máximo são possibilidades, não garantias.</x:v>
      </x:c>
      <x:c r="B58" s="97"/>
      <x:c r="C58" s="97"/>
      <x:c r="D58" s="97"/>
      <x:c r="E58" s="97"/>
      <x:c r="F58" s="97"/>
      <x:c r="G58" s="97"/>
      <x:c r="H58" s="97"/>
      <x:c r="I58" s="97"/>
      <x:c r="J58" s="97"/>
      <x:c r="K58" s="97"/>
      <x:c r="L58" s="97"/>
      <x:c r="M58" s="97"/>
      <x:c r="N58" s="97"/>
      <x:c r="O58" s="97"/>
      <x:c r="P58" s="97"/>
      <x:c r="Q58" s="97"/>
      <x:c r="R58" s="97"/>
      <x:c r="S58" s="97"/>
      <x:c r="T58" s="97"/>
      <x:c r="U58" s="97"/>
      <x:c r="V58" s="97"/>
      <x:c r="W58" s="97"/>
      <x:c r="X58" s="97"/>
      <x:c r="Y58" s="97"/>
      <x:c r="Z58" s="97"/>
      <x:c r="AA58" s="97"/>
      <x:c r="AB58" s="97"/>
      <x:c r="AC58" s="97"/>
    </x:row>
    <x:row r="59">
      <x:c r="A59" s="98" t="str">
        <x:v>Status: hipótese pré-calibração. O quadro GERAL resume o total bruto e não substitui a análise por área. Consulte a aba Premissas antes de usar os valores em relatórios.</x:v>
      </x:c>
      <x:c r="B59" s="98"/>
      <x:c r="C59" s="98"/>
      <x:c r="D59" s="98"/>
      <x:c r="E59" s="98"/>
      <x:c r="F59" s="98"/>
      <x:c r="G59" s="98"/>
      <x:c r="H59" s="98"/>
      <x:c r="I59" s="98"/>
      <x:c r="J59" s="98"/>
      <x:c r="K59" s="98"/>
      <x:c r="L59" s="98"/>
      <x:c r="M59" s="98"/>
      <x:c r="N59" s="98"/>
      <x:c r="O59" s="98"/>
      <x:c r="P59" s="98"/>
      <x:c r="Q59" s="98"/>
      <x:c r="R59" s="98"/>
      <x:c r="S59" s="98"/>
      <x:c r="T59" s="98"/>
      <x:c r="U59" s="98"/>
      <x:c r="V59" s="98"/>
      <x:c r="W59" s="98"/>
      <x:c r="X59" s="98"/>
      <x:c r="Y59" s="98"/>
      <x:c r="Z59" s="98"/>
      <x:c r="AA59" s="98"/>
      <x:c r="AB59" s="98"/>
      <x:c r="AC59" s="98"/>
    </x:row>
  </x:sheetData>
  <x:mergeCells>
    <x:mergeCell ref="A1:AC1"/>
    <x:mergeCell ref="A2:AC2"/>
    <x:mergeCell ref="A3:E3"/>
    <x:mergeCell ref="G3:K3"/>
    <x:mergeCell ref="M3:Q3"/>
    <x:mergeCell ref="S3:W3"/>
    <x:mergeCell ref="Y3:AC3"/>
    <x:mergeCell ref="A58:AC58"/>
    <x:mergeCell ref="A59:AC5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7" max="7" width="9" hidden="0" customWidth="1"/>
    <x:col min="8" max="8" width="10" hidden="0" customWidth="1"/>
    <x:col min="9" max="9" width="12" hidden="0" customWidth="1"/>
    <x:col min="10" max="10" width="12" hidden="0" customWidth="1"/>
    <x:col min="11" max="11" width="12" hidden="0" customWidth="1"/>
    <x:col min="13" max="13" width="9" hidden="0" customWidth="1"/>
    <x:col min="14" max="14" width="10" hidden="0" customWidth="1"/>
    <x:col min="15" max="15" width="12" hidden="0" customWidth="1"/>
    <x:col min="16" max="16" width="12" hidden="0" customWidth="1"/>
    <x:col min="17" max="17" width="12" hidden="0" customWidth="1"/>
    <x:col min="19" max="19" width="9" hidden="0" customWidth="1"/>
    <x:col min="20" max="20" width="10" hidden="0" customWidth="1"/>
    <x:col min="21" max="21" width="12" hidden="0" customWidth="1"/>
    <x:col min="22" max="22" width="12" hidden="0" customWidth="1"/>
    <x:col min="23" max="23" width="12" hidden="0" customWidth="1"/>
    <x:col min="25" max="25" width="9" hidden="0" customWidth="1"/>
    <x:col min="26" max="26" width="10" hidden="0" customWidth="1"/>
    <x:col min="27" max="27" width="12" hidden="0" customWidth="1"/>
    <x:col min="28" max="28" width="12" hidden="0" customWidth="1"/>
    <x:col min="29" max="29" width="12" hidden="0" customWidth="1"/>
    <x:col min="6" max="6" width="2.5" hidden="0" customWidth="1"/>
    <x:col min="12" max="12" width="2.5" hidden="0" customWidth="1"/>
    <x:col min="18" max="18" width="2.5" hidden="0" customWidth="1"/>
    <x:col min="24" max="24" width="2.5" hidden="0" customWidth="1"/>
  </x:cols>
  <x:sheetData>
    <x:row r="1" ht="32" customHeight="1">
      <x:c r="A1" s="49" t="str">
        <x:v>TABELA DE REFERÊNCIA PROVISÓRIA — 7º ANO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  <x:c r="P1" s="49"/>
      <x:c r="Q1" s="49"/>
      <x:c r="R1" s="49"/>
      <x:c r="S1" s="49"/>
      <x:c r="T1" s="49"/>
      <x:c r="U1" s="49"/>
      <x:c r="V1" s="49"/>
      <x:c r="W1" s="49"/>
      <x:c r="X1" s="49"/>
      <x:c r="Y1" s="49"/>
      <x:c r="Z1" s="49"/>
      <x:c r="AA1" s="49"/>
      <x:c r="AB1" s="49"/>
      <x:c r="AC1" s="49"/>
    </x:row>
    <x:row r="2">
      <x:c r="A2" s="93" t="str">
        <x:v>Escala vertical comum 7º–9º | hipótese inicial sujeita a calibração e itens-âncora</x:v>
      </x:c>
      <x:c r="B2" s="93"/>
      <x:c r="C2" s="93"/>
      <x:c r="D2" s="93"/>
      <x:c r="E2" s="93"/>
      <x:c r="F2" s="93"/>
      <x:c r="G2" s="93"/>
      <x:c r="H2" s="93"/>
      <x:c r="I2" s="93"/>
      <x:c r="J2" s="93"/>
      <x:c r="K2" s="93"/>
      <x:c r="L2" s="93"/>
      <x:c r="M2" s="93"/>
      <x:c r="N2" s="93"/>
      <x:c r="O2" s="93"/>
      <x:c r="P2" s="93"/>
      <x:c r="Q2" s="93"/>
      <x:c r="R2" s="93"/>
      <x:c r="S2" s="93"/>
      <x:c r="T2" s="93"/>
      <x:c r="U2" s="93"/>
      <x:c r="V2" s="93"/>
      <x:c r="W2" s="93"/>
      <x:c r="X2" s="93"/>
      <x:c r="Y2" s="93"/>
      <x:c r="Z2" s="93"/>
      <x:c r="AA2" s="93"/>
      <x:c r="AB2" s="93"/>
      <x:c r="AC2" s="93"/>
    </x:row>
    <x:row r="3">
      <x:c r="A3" s="54" t="str">
        <x:v>GERAL — GERAL (TOTAL BRUTO) (50 ITENS)</x:v>
      </x:c>
      <x:c r="B3" s="54"/>
      <x:c r="C3" s="54"/>
      <x:c r="D3" s="54"/>
      <x:c r="E3" s="54"/>
      <x:c r="F3" s="53"/>
      <x:c r="G3" s="54" t="str">
        <x:v>LC — LINGUAGENS (20 ITENS)</x:v>
      </x:c>
      <x:c r="H3" s="54"/>
      <x:c r="I3" s="54"/>
      <x:c r="J3" s="54"/>
      <x:c r="K3" s="54"/>
      <x:c r="L3" s="53"/>
      <x:c r="M3" s="54" t="str">
        <x:v>MT — MATEMÁTICA (10 ITENS)</x:v>
      </x:c>
      <x:c r="N3" s="54"/>
      <x:c r="O3" s="54"/>
      <x:c r="P3" s="54"/>
      <x:c r="Q3" s="54"/>
      <x:c r="R3" s="53"/>
      <x:c r="S3" s="54" t="str">
        <x:v>CH — CIÊNCIAS HUMANAS (15 ITENS)</x:v>
      </x:c>
      <x:c r="T3" s="54"/>
      <x:c r="U3" s="54"/>
      <x:c r="V3" s="54"/>
      <x:c r="W3" s="54"/>
      <x:c r="X3" s="53"/>
      <x:c r="Y3" s="54" t="str">
        <x:v>CN — CIÊNCIAS DA NATUREZA (5 ITENS)</x:v>
      </x:c>
      <x:c r="Z3" s="54"/>
      <x:c r="AA3" s="54"/>
      <x:c r="AB3" s="54"/>
      <x:c r="AC3" s="54"/>
    </x:row>
    <x:row r="4">
      <x:c r="A4" s="94" t="str">
        <x:v>Área</x:v>
      </x:c>
      <x:c r="B4" s="94" t="str">
        <x:v>Acertos</x:v>
      </x:c>
      <x:c r="C4" s="94" t="str">
        <x:v>Mínimo</x:v>
      </x:c>
      <x:c r="D4" s="94" t="str">
        <x:v>Mediana</x:v>
      </x:c>
      <x:c r="E4" s="94" t="str">
        <x:v>Máximo</x:v>
      </x:c>
      <x:c r="F4" s="53"/>
      <x:c r="G4" s="94" t="str">
        <x:v>Área</x:v>
      </x:c>
      <x:c r="H4" s="94" t="str">
        <x:v>Acertos</x:v>
      </x:c>
      <x:c r="I4" s="94" t="str">
        <x:v>Mínimo</x:v>
      </x:c>
      <x:c r="J4" s="94" t="str">
        <x:v>Mediana</x:v>
      </x:c>
      <x:c r="K4" s="94" t="str">
        <x:v>Máximo</x:v>
      </x:c>
      <x:c r="L4" s="53"/>
      <x:c r="M4" s="94" t="str">
        <x:v>Área</x:v>
      </x:c>
      <x:c r="N4" s="94" t="str">
        <x:v>Acertos</x:v>
      </x:c>
      <x:c r="O4" s="94" t="str">
        <x:v>Mínimo</x:v>
      </x:c>
      <x:c r="P4" s="94" t="str">
        <x:v>Mediana</x:v>
      </x:c>
      <x:c r="Q4" s="94" t="str">
        <x:v>Máximo</x:v>
      </x:c>
      <x:c r="R4" s="53"/>
      <x:c r="S4" s="94" t="str">
        <x:v>Área</x:v>
      </x:c>
      <x:c r="T4" s="94" t="str">
        <x:v>Acertos</x:v>
      </x:c>
      <x:c r="U4" s="94" t="str">
        <x:v>Mínimo</x:v>
      </x:c>
      <x:c r="V4" s="94" t="str">
        <x:v>Mediana</x:v>
      </x:c>
      <x:c r="W4" s="94" t="str">
        <x:v>Máximo</x:v>
      </x:c>
      <x:c r="X4" s="53"/>
      <x:c r="Y4" s="94" t="str">
        <x:v>Área</x:v>
      </x:c>
      <x:c r="Z4" s="94" t="str">
        <x:v>Acertos</x:v>
      </x:c>
      <x:c r="AA4" s="94" t="str">
        <x:v>Mínimo</x:v>
      </x:c>
      <x:c r="AB4" s="94" t="str">
        <x:v>Mediana</x:v>
      </x:c>
      <x:c r="AC4" s="94" t="str">
        <x:v>Máximo</x:v>
      </x:c>
    </x:row>
    <x:row r="5">
      <x:c r="A5" s="56" t="str">
        <x:v>GERAL</x:v>
      </x:c>
      <x:c r="B5" s="95" t="n">
        <x:f>'Base longa'!G107</x:f>
        <x:v>0</x:v>
      </x:c>
      <x:c r="C5" s="57" t="n">
        <x:f>'Base longa'!K107</x:f>
        <x:v>200</x:v>
      </x:c>
      <x:c r="D5" s="57" t="n">
        <x:f>'Base longa'!L107</x:f>
        <x:v>200</x:v>
      </x:c>
      <x:c r="E5" s="57" t="n">
        <x:f>'Base longa'!M107</x:f>
        <x:v>200</x:v>
      </x:c>
      <x:c r="F5" s="53"/>
      <x:c r="G5" s="56" t="str">
        <x:v>LC</x:v>
      </x:c>
      <x:c r="H5" s="95" t="n">
        <x:f>'Base longa'!G158</x:f>
        <x:v>0</x:v>
      </x:c>
      <x:c r="I5" s="57" t="n">
        <x:f>'Base longa'!K158</x:f>
        <x:v>200</x:v>
      </x:c>
      <x:c r="J5" s="57" t="n">
        <x:f>'Base longa'!L158</x:f>
        <x:v>200</x:v>
      </x:c>
      <x:c r="K5" s="57" t="n">
        <x:f>'Base longa'!M158</x:f>
        <x:v>200</x:v>
      </x:c>
      <x:c r="L5" s="53"/>
      <x:c r="M5" s="56" t="str">
        <x:v>MT</x:v>
      </x:c>
      <x:c r="N5" s="95" t="n">
        <x:f>'Base longa'!G179</x:f>
        <x:v>0</x:v>
      </x:c>
      <x:c r="O5" s="57" t="n">
        <x:f>'Base longa'!K179</x:f>
        <x:v>200</x:v>
      </x:c>
      <x:c r="P5" s="57" t="n">
        <x:f>'Base longa'!L179</x:f>
        <x:v>200</x:v>
      </x:c>
      <x:c r="Q5" s="57" t="n">
        <x:f>'Base longa'!M179</x:f>
        <x:v>200</x:v>
      </x:c>
      <x:c r="R5" s="53"/>
      <x:c r="S5" s="56" t="str">
        <x:v>CH</x:v>
      </x:c>
      <x:c r="T5" s="95" t="n">
        <x:f>'Base longa'!G190</x:f>
        <x:v>0</x:v>
      </x:c>
      <x:c r="U5" s="57" t="n">
        <x:f>'Base longa'!K190</x:f>
        <x:v>200</x:v>
      </x:c>
      <x:c r="V5" s="57" t="n">
        <x:f>'Base longa'!L190</x:f>
        <x:v>200</x:v>
      </x:c>
      <x:c r="W5" s="57" t="n">
        <x:f>'Base longa'!M190</x:f>
        <x:v>200</x:v>
      </x:c>
      <x:c r="X5" s="53"/>
      <x:c r="Y5" s="56" t="str">
        <x:v>CN</x:v>
      </x:c>
      <x:c r="Z5" s="95" t="n">
        <x:f>'Base longa'!G206</x:f>
        <x:v>0</x:v>
      </x:c>
      <x:c r="AA5" s="57" t="n">
        <x:f>'Base longa'!K206</x:f>
        <x:v>200</x:v>
      </x:c>
      <x:c r="AB5" s="57" t="n">
        <x:f>'Base longa'!L206</x:f>
        <x:v>200</x:v>
      </x:c>
      <x:c r="AC5" s="57" t="n">
        <x:f>'Base longa'!M206</x:f>
        <x:v>200</x:v>
      </x:c>
    </x:row>
    <x:row r="6">
      <x:c r="A6" s="66" t="str">
        <x:v>GERAL</x:v>
      </x:c>
      <x:c r="B6" s="96" t="n">
        <x:f>'Base longa'!G108</x:f>
        <x:v>1</x:v>
      </x:c>
      <x:c r="C6" s="69" t="n">
        <x:f>'Base longa'!K108</x:f>
        <x:v>200</x:v>
      </x:c>
      <x:c r="D6" s="69" t="n">
        <x:f>'Base longa'!L108</x:f>
        <x:v>200</x:v>
      </x:c>
      <x:c r="E6" s="69" t="n">
        <x:f>'Base longa'!M108</x:f>
        <x:v>203</x:v>
      </x:c>
      <x:c r="F6" s="53"/>
      <x:c r="G6" s="66" t="str">
        <x:v>LC</x:v>
      </x:c>
      <x:c r="H6" s="96" t="n">
        <x:f>'Base longa'!G159</x:f>
        <x:v>1</x:v>
      </x:c>
      <x:c r="I6" s="69" t="n">
        <x:f>'Base longa'!K159</x:f>
        <x:v>200</x:v>
      </x:c>
      <x:c r="J6" s="69" t="n">
        <x:f>'Base longa'!L159</x:f>
        <x:v>200</x:v>
      </x:c>
      <x:c r="K6" s="69" t="n">
        <x:f>'Base longa'!M159</x:f>
        <x:v>211.4</x:v>
      </x:c>
      <x:c r="L6" s="53"/>
      <x:c r="M6" s="66" t="str">
        <x:v>MT</x:v>
      </x:c>
      <x:c r="N6" s="96" t="n">
        <x:f>'Base longa'!G180</x:f>
        <x:v>1</x:v>
      </x:c>
      <x:c r="O6" s="69" t="n">
        <x:f>'Base longa'!K180</x:f>
        <x:v>200</x:v>
      </x:c>
      <x:c r="P6" s="69" t="n">
        <x:f>'Base longa'!L180</x:f>
        <x:v>200</x:v>
      </x:c>
      <x:c r="Q6" s="69" t="n">
        <x:f>'Base longa'!M180</x:f>
        <x:v>230.6</x:v>
      </x:c>
      <x:c r="R6" s="53"/>
      <x:c r="S6" s="66" t="str">
        <x:v>CH</x:v>
      </x:c>
      <x:c r="T6" s="96" t="n">
        <x:f>'Base longa'!G191</x:f>
        <x:v>1</x:v>
      </x:c>
      <x:c r="U6" s="69" t="n">
        <x:f>'Base longa'!K191</x:f>
        <x:v>200</x:v>
      </x:c>
      <x:c r="V6" s="69" t="n">
        <x:f>'Base longa'!L191</x:f>
        <x:v>200</x:v>
      </x:c>
      <x:c r="W6" s="69" t="n">
        <x:f>'Base longa'!M191</x:f>
        <x:v>217.3</x:v>
      </x:c>
      <x:c r="X6" s="53"/>
      <x:c r="Y6" s="66" t="str">
        <x:v>CN</x:v>
      </x:c>
      <x:c r="Z6" s="96" t="n">
        <x:f>'Base longa'!G207</x:f>
        <x:v>1</x:v>
      </x:c>
      <x:c r="AA6" s="69" t="n">
        <x:f>'Base longa'!K207</x:f>
        <x:v>200</x:v>
      </x:c>
      <x:c r="AB6" s="69" t="n">
        <x:f>'Base longa'!L207</x:f>
        <x:v>230.4</x:v>
      </x:c>
      <x:c r="AC6" s="69" t="n">
        <x:f>'Base longa'!M207</x:f>
        <x:v>307.3</x:v>
      </x:c>
    </x:row>
    <x:row r="7">
      <x:c r="A7" s="56" t="str">
        <x:v>GERAL</x:v>
      </x:c>
      <x:c r="B7" s="95" t="n">
        <x:f>'Base longa'!G109</x:f>
        <x:v>2</x:v>
      </x:c>
      <x:c r="C7" s="57" t="n">
        <x:f>'Base longa'!K109</x:f>
        <x:v>200</x:v>
      </x:c>
      <x:c r="D7" s="57" t="n">
        <x:f>'Base longa'!L109</x:f>
        <x:v>200</x:v>
      </x:c>
      <x:c r="E7" s="57" t="n">
        <x:f>'Base longa'!M109</x:f>
        <x:v>205.8</x:v>
      </x:c>
      <x:c r="F7" s="53"/>
      <x:c r="G7" s="56" t="str">
        <x:v>LC</x:v>
      </x:c>
      <x:c r="H7" s="95" t="n">
        <x:f>'Base longa'!G160</x:f>
        <x:v>2</x:v>
      </x:c>
      <x:c r="I7" s="57" t="n">
        <x:f>'Base longa'!K160</x:f>
        <x:v>200</x:v>
      </x:c>
      <x:c r="J7" s="57" t="n">
        <x:f>'Base longa'!L160</x:f>
        <x:v>200</x:v>
      </x:c>
      <x:c r="K7" s="57" t="n">
        <x:f>'Base longa'!M160</x:f>
        <x:v>221.6</x:v>
      </x:c>
      <x:c r="L7" s="53"/>
      <x:c r="M7" s="56" t="str">
        <x:v>MT</x:v>
      </x:c>
      <x:c r="N7" s="95" t="n">
        <x:f>'Base longa'!G181</x:f>
        <x:v>2</x:v>
      </x:c>
      <x:c r="O7" s="57" t="n">
        <x:f>'Base longa'!K181</x:f>
        <x:v>200</x:v>
      </x:c>
      <x:c r="P7" s="57" t="n">
        <x:f>'Base longa'!L181</x:f>
        <x:v>230.4</x:v>
      </x:c>
      <x:c r="Q7" s="57" t="n">
        <x:f>'Base longa'!M181</x:f>
        <x:v>284.8</x:v>
      </x:c>
      <x:c r="R7" s="53"/>
      <x:c r="S7" s="56" t="str">
        <x:v>CH</x:v>
      </x:c>
      <x:c r="T7" s="95" t="n">
        <x:f>'Base longa'!G192</x:f>
        <x:v>2</x:v>
      </x:c>
      <x:c r="U7" s="57" t="n">
        <x:f>'Base longa'!K192</x:f>
        <x:v>200</x:v>
      </x:c>
      <x:c r="V7" s="57" t="n">
        <x:f>'Base longa'!L192</x:f>
        <x:v>206</x:v>
      </x:c>
      <x:c r="W7" s="57" t="n">
        <x:f>'Base longa'!M192</x:f>
        <x:v>238.1</x:v>
      </x:c>
      <x:c r="X7" s="53"/>
      <x:c r="Y7" s="56" t="str">
        <x:v>CN</x:v>
      </x:c>
      <x:c r="Z7" s="95" t="n">
        <x:f>'Base longa'!G208</x:f>
        <x:v>2</x:v>
      </x:c>
      <x:c r="AA7" s="57" t="n">
        <x:f>'Base longa'!K208</x:f>
        <x:v>247.8</x:v>
      </x:c>
      <x:c r="AB7" s="57" t="n">
        <x:f>'Base longa'!L208</x:f>
        <x:v>363.2</x:v>
      </x:c>
      <x:c r="AC7" s="57" t="n">
        <x:f>'Base longa'!M208</x:f>
        <x:v>478.6</x:v>
      </x:c>
    </x:row>
    <x:row r="8">
      <x:c r="A8" s="66" t="str">
        <x:v>GERAL</x:v>
      </x:c>
      <x:c r="B8" s="96" t="n">
        <x:f>'Base longa'!G110</x:f>
        <x:v>3</x:v>
      </x:c>
      <x:c r="C8" s="69" t="n">
        <x:f>'Base longa'!K110</x:f>
        <x:v>200</x:v>
      </x:c>
      <x:c r="D8" s="69" t="n">
        <x:f>'Base longa'!L110</x:f>
        <x:v>200</x:v>
      </x:c>
      <x:c r="E8" s="69" t="n">
        <x:f>'Base longa'!M110</x:f>
        <x:v>208.6</x:v>
      </x:c>
      <x:c r="F8" s="53"/>
      <x:c r="G8" s="66" t="str">
        <x:v>LC</x:v>
      </x:c>
      <x:c r="H8" s="96" t="n">
        <x:f>'Base longa'!G161</x:f>
        <x:v>3</x:v>
      </x:c>
      <x:c r="I8" s="69" t="n">
        <x:f>'Base longa'!K161</x:f>
        <x:v>200</x:v>
      </x:c>
      <x:c r="J8" s="69" t="n">
        <x:f>'Base longa'!L161</x:f>
        <x:v>211</x:v>
      </x:c>
      <x:c r="K8" s="69" t="n">
        <x:f>'Base longa'!M161</x:f>
        <x:v>241.7</x:v>
      </x:c>
      <x:c r="L8" s="53"/>
      <x:c r="M8" s="66" t="str">
        <x:v>MT</x:v>
      </x:c>
      <x:c r="N8" s="96" t="n">
        <x:f>'Base longa'!G182</x:f>
        <x:v>3</x:v>
      </x:c>
      <x:c r="O8" s="69" t="n">
        <x:f>'Base longa'!K182</x:f>
        <x:v>216.2</x:v>
      </x:c>
      <x:c r="P8" s="69" t="n">
        <x:f>'Base longa'!L182</x:f>
        <x:v>287.6</x:v>
      </x:c>
      <x:c r="Q8" s="69" t="n">
        <x:f>'Base longa'!M182</x:f>
        <x:v>359</x:v>
      </x:c>
      <x:c r="R8" s="53"/>
      <x:c r="S8" s="66" t="str">
        <x:v>CH</x:v>
      </x:c>
      <x:c r="T8" s="96" t="n">
        <x:f>'Base longa'!G193</x:f>
        <x:v>3</x:v>
      </x:c>
      <x:c r="U8" s="69" t="n">
        <x:f>'Base longa'!K193</x:f>
        <x:v>200</x:v>
      </x:c>
      <x:c r="V8" s="69" t="n">
        <x:f>'Base longa'!L193</x:f>
        <x:v>230.4</x:v>
      </x:c>
      <x:c r="W8" s="69" t="n">
        <x:f>'Base longa'!M193</x:f>
        <x:v>274.8</x:v>
      </x:c>
      <x:c r="X8" s="53"/>
      <x:c r="Y8" s="66" t="str">
        <x:v>CN</x:v>
      </x:c>
      <x:c r="Z8" s="96" t="n">
        <x:f>'Base longa'!G209</x:f>
        <x:v>3</x:v>
      </x:c>
      <x:c r="AA8" s="69" t="n">
        <x:f>'Base longa'!K209</x:f>
        <x:v>425.4</x:v>
      </x:c>
      <x:c r="AB8" s="69" t="n">
        <x:f>'Base longa'!L209</x:f>
        <x:v>540.8</x:v>
      </x:c>
      <x:c r="AC8" s="69" t="n">
        <x:f>'Base longa'!M209</x:f>
        <x:v>656.2</x:v>
      </x:c>
    </x:row>
    <x:row r="9">
      <x:c r="A9" s="56" t="str">
        <x:v>GERAL</x:v>
      </x:c>
      <x:c r="B9" s="95" t="n">
        <x:f>'Base longa'!G111</x:f>
        <x:v>4</x:v>
      </x:c>
      <x:c r="C9" s="57" t="n">
        <x:f>'Base longa'!K111</x:f>
        <x:v>200</x:v>
      </x:c>
      <x:c r="D9" s="57" t="n">
        <x:f>'Base longa'!L111</x:f>
        <x:v>200</x:v>
      </x:c>
      <x:c r="E9" s="57" t="n">
        <x:f>'Base longa'!M111</x:f>
        <x:v>211.2</x:v>
      </x:c>
      <x:c r="F9" s="53"/>
      <x:c r="G9" s="56" t="str">
        <x:v>LC</x:v>
      </x:c>
      <x:c r="H9" s="95" t="n">
        <x:f>'Base longa'!G162</x:f>
        <x:v>4</x:v>
      </x:c>
      <x:c r="I9" s="57" t="n">
        <x:f>'Base longa'!K162</x:f>
        <x:v>200</x:v>
      </x:c>
      <x:c r="J9" s="57" t="n">
        <x:f>'Base longa'!L162</x:f>
        <x:v>230.4</x:v>
      </x:c>
      <x:c r="K9" s="57" t="n">
        <x:f>'Base longa'!M162</x:f>
        <x:v>268.9</x:v>
      </x:c>
      <x:c r="L9" s="53"/>
      <x:c r="M9" s="56" t="str">
        <x:v>MT</x:v>
      </x:c>
      <x:c r="N9" s="95" t="n">
        <x:f>'Base longa'!G183</x:f>
        <x:v>4</x:v>
      </x:c>
      <x:c r="O9" s="57" t="n">
        <x:f>'Base longa'!K183</x:f>
        <x:v>281.6</x:v>
      </x:c>
      <x:c r="P9" s="57" t="n">
        <x:f>'Base longa'!L183</x:f>
        <x:v>363.2</x:v>
      </x:c>
      <x:c r="Q9" s="57" t="n">
        <x:f>'Base longa'!M183</x:f>
        <x:v>444.8</x:v>
      </x:c>
      <x:c r="R9" s="53"/>
      <x:c r="S9" s="56" t="str">
        <x:v>CH</x:v>
      </x:c>
      <x:c r="T9" s="95" t="n">
        <x:f>'Base longa'!G194</x:f>
        <x:v>4</x:v>
      </x:c>
      <x:c r="U9" s="57" t="n">
        <x:f>'Base longa'!K194</x:f>
        <x:v>211.8</x:v>
      </x:c>
      <x:c r="V9" s="57" t="n">
        <x:f>'Base longa'!L194</x:f>
        <x:v>266.1</x:v>
      </x:c>
      <x:c r="W9" s="57" t="n">
        <x:f>'Base longa'!M194</x:f>
        <x:v>320.4</x:v>
      </x:c>
      <x:c r="X9" s="53"/>
      <x:c r="Y9" s="56" t="str">
        <x:v>CN</x:v>
      </x:c>
      <x:c r="Z9" s="95" t="n">
        <x:f>'Base longa'!G210</x:f>
        <x:v>4</x:v>
      </x:c>
      <x:c r="AA9" s="57" t="n">
        <x:f>'Base longa'!K210</x:f>
        <x:v>628.7</x:v>
      </x:c>
      <x:c r="AB9" s="57" t="n">
        <x:f>'Base longa'!L210</x:f>
        <x:v>705.6</x:v>
      </x:c>
      <x:c r="AC9" s="57" t="n">
        <x:f>'Base longa'!M210</x:f>
        <x:v>782.5</x:v>
      </x:c>
    </x:row>
    <x:row r="10">
      <x:c r="A10" s="66" t="str">
        <x:v>GERAL</x:v>
      </x:c>
      <x:c r="B10" s="96" t="n">
        <x:f>'Base longa'!G112</x:f>
        <x:v>5</x:v>
      </x:c>
      <x:c r="C10" s="69" t="n">
        <x:f>'Base longa'!K112</x:f>
        <x:v>200</x:v>
      </x:c>
      <x:c r="D10" s="69" t="n">
        <x:f>'Base longa'!L112</x:f>
        <x:v>200</x:v>
      </x:c>
      <x:c r="E10" s="69" t="n">
        <x:f>'Base longa'!M112</x:f>
        <x:v>213.7</x:v>
      </x:c>
      <x:c r="F10" s="53"/>
      <x:c r="G10" s="66" t="str">
        <x:v>LC</x:v>
      </x:c>
      <x:c r="H10" s="96" t="n">
        <x:f>'Base longa'!G163</x:f>
        <x:v>5</x:v>
      </x:c>
      <x:c r="I10" s="69" t="n">
        <x:f>'Base longa'!K163</x:f>
        <x:v>211.2</x:v>
      </x:c>
      <x:c r="J10" s="69" t="n">
        <x:f>'Base longa'!L163</x:f>
        <x:v>256.3</x:v>
      </x:c>
      <x:c r="K10" s="69" t="n">
        <x:f>'Base longa'!M163</x:f>
        <x:v>301.4</x:v>
      </x:c>
      <x:c r="L10" s="53"/>
      <x:c r="M10" s="66" t="str">
        <x:v>MT</x:v>
      </x:c>
      <x:c r="N10" s="96" t="n">
        <x:f>'Base longa'!G184</x:f>
        <x:v>5</x:v>
      </x:c>
      <x:c r="O10" s="69" t="n">
        <x:f>'Base longa'!K184</x:f>
        <x:v>365</x:v>
      </x:c>
      <x:c r="P10" s="69" t="n">
        <x:f>'Base longa'!L184</x:f>
        <x:v>450</x:v>
      </x:c>
      <x:c r="Q10" s="69" t="n">
        <x:f>'Base longa'!M184</x:f>
        <x:v>535</x:v>
      </x:c>
      <x:c r="R10" s="53"/>
      <x:c r="S10" s="66" t="str">
        <x:v>CH</x:v>
      </x:c>
      <x:c r="T10" s="96" t="n">
        <x:f>'Base longa'!G195</x:f>
        <x:v>5</x:v>
      </x:c>
      <x:c r="U10" s="69" t="n">
        <x:f>'Base longa'!K195</x:f>
        <x:v>249.4</x:v>
      </x:c>
      <x:c r="V10" s="69" t="n">
        <x:f>'Base longa'!L195</x:f>
        <x:v>311.1</x:v>
      </x:c>
      <x:c r="W10" s="69" t="n">
        <x:f>'Base longa'!M195</x:f>
        <x:v>372.8</x:v>
      </x:c>
      <x:c r="X10" s="53"/>
      <x:c r="Y10" s="66" t="str">
        <x:v>CN</x:v>
      </x:c>
      <x:c r="Z10" s="96" t="n">
        <x:f>'Base longa'!G211</x:f>
        <x:v>5</x:v>
      </x:c>
      <x:c r="AA10" s="69" t="n">
        <x:f>'Base longa'!K211</x:f>
        <x:v>800</x:v>
      </x:c>
      <x:c r="AB10" s="69" t="n">
        <x:f>'Base longa'!L211</x:f>
        <x:v>800</x:v>
      </x:c>
      <x:c r="AC10" s="69" t="n">
        <x:f>'Base longa'!M211</x:f>
        <x:v>800</x:v>
      </x:c>
    </x:row>
    <x:row r="11">
      <x:c r="A11" s="56" t="str">
        <x:v>GERAL</x:v>
      </x:c>
      <x:c r="B11" s="95" t="n">
        <x:f>'Base longa'!G113</x:f>
        <x:v>6</x:v>
      </x:c>
      <x:c r="C11" s="57" t="n">
        <x:f>'Base longa'!K113</x:f>
        <x:v>200</x:v>
      </x:c>
      <x:c r="D11" s="57" t="n">
        <x:f>'Base longa'!L113</x:f>
        <x:v>202.7</x:v>
      </x:c>
      <x:c r="E11" s="57" t="n">
        <x:f>'Base longa'!M113</x:f>
        <x:v>218.8</x:v>
      </x:c>
      <x:c r="F11" s="53"/>
      <x:c r="G11" s="56" t="str">
        <x:v>LC</x:v>
      </x:c>
      <x:c r="H11" s="95" t="n">
        <x:f>'Base longa'!G164</x:f>
        <x:v>6</x:v>
      </x:c>
      <x:c r="I11" s="57" t="n">
        <x:f>'Base longa'!K164</x:f>
        <x:v>237.1</x:v>
      </x:c>
      <x:c r="J11" s="57" t="n">
        <x:f>'Base longa'!L164</x:f>
        <x:v>287.6</x:v>
      </x:c>
      <x:c r="K11" s="57" t="n">
        <x:f>'Base longa'!M164</x:f>
        <x:v>338.1</x:v>
      </x:c>
      <x:c r="L11" s="53"/>
      <x:c r="M11" s="56" t="str">
        <x:v>MT</x:v>
      </x:c>
      <x:c r="N11" s="95" t="n">
        <x:f>'Base longa'!G185</x:f>
        <x:v>6</x:v>
      </x:c>
      <x:c r="O11" s="57" t="n">
        <x:f>'Base longa'!K185</x:f>
        <x:v>459.2</x:v>
      </x:c>
      <x:c r="P11" s="57" t="n">
        <x:f>'Base longa'!L185</x:f>
        <x:v>540.8</x:v>
      </x:c>
      <x:c r="Q11" s="57" t="n">
        <x:f>'Base longa'!M185</x:f>
        <x:v>622.4</x:v>
      </x:c>
      <x:c r="R11" s="53"/>
      <x:c r="S11" s="56" t="str">
        <x:v>CH</x:v>
      </x:c>
      <x:c r="T11" s="95" t="n">
        <x:f>'Base longa'!G196</x:f>
        <x:v>6</x:v>
      </x:c>
      <x:c r="U11" s="57" t="n">
        <x:f>'Base longa'!K196</x:f>
        <x:v>296.6</x:v>
      </x:c>
      <x:c r="V11" s="57" t="n">
        <x:f>'Base longa'!L196</x:f>
        <x:v>363.2</x:v>
      </x:c>
      <x:c r="W11" s="57" t="n">
        <x:f>'Base longa'!M196</x:f>
        <x:v>429.8</x:v>
      </x:c>
      <x:c r="X11" s="53"/>
      <x:c r="Y11" s="56"/>
      <x:c r="Z11" s="95"/>
      <x:c r="AA11" s="57"/>
      <x:c r="AB11" s="57"/>
      <x:c r="AC11" s="57"/>
    </x:row>
    <x:row r="12">
      <x:c r="A12" s="66" t="str">
        <x:v>GERAL</x:v>
      </x:c>
      <x:c r="B12" s="96" t="n">
        <x:f>'Base longa'!G114</x:f>
        <x:v>7</x:v>
      </x:c>
      <x:c r="C12" s="69" t="n">
        <x:f>'Base longa'!K114</x:f>
        <x:v>200</x:v>
      </x:c>
      <x:c r="D12" s="69" t="n">
        <x:f>'Base longa'!L114</x:f>
        <x:v>207.9</x:v>
      </x:c>
      <x:c r="E12" s="69" t="n">
        <x:f>'Base longa'!M114</x:f>
        <x:v>226.2</x:v>
      </x:c>
      <x:c r="F12" s="53"/>
      <x:c r="G12" s="66" t="str">
        <x:v>LC</x:v>
      </x:c>
      <x:c r="H12" s="96" t="n">
        <x:f>'Base longa'!G165</x:f>
        <x:v>7</x:v>
      </x:c>
      <x:c r="I12" s="69" t="n">
        <x:f>'Base longa'!K165</x:f>
        <x:v>268.8</x:v>
      </x:c>
      <x:c r="J12" s="69" t="n">
        <x:f>'Base longa'!L165</x:f>
        <x:v>323.5</x:v>
      </x:c>
      <x:c r="K12" s="69" t="n">
        <x:f>'Base longa'!M165</x:f>
        <x:v>378.2</x:v>
      </x:c>
      <x:c r="L12" s="53"/>
      <x:c r="M12" s="66" t="str">
        <x:v>MT</x:v>
      </x:c>
      <x:c r="N12" s="96" t="n">
        <x:f>'Base longa'!G186</x:f>
        <x:v>7</x:v>
      </x:c>
      <x:c r="O12" s="69" t="n">
        <x:f>'Base longa'!K186</x:f>
        <x:v>557</x:v>
      </x:c>
      <x:c r="P12" s="69" t="n">
        <x:f>'Base longa'!L186</x:f>
        <x:v>628.4</x:v>
      </x:c>
      <x:c r="Q12" s="69" t="n">
        <x:f>'Base longa'!M186</x:f>
        <x:v>699.8</x:v>
      </x:c>
      <x:c r="R12" s="53"/>
      <x:c r="S12" s="66" t="str">
        <x:v>CH</x:v>
      </x:c>
      <x:c r="T12" s="96" t="n">
        <x:f>'Base longa'!G197</x:f>
        <x:v>7</x:v>
      </x:c>
      <x:c r="U12" s="69" t="n">
        <x:f>'Base longa'!K197</x:f>
        <x:v>351.2</x:v>
      </x:c>
      <x:c r="V12" s="69" t="n">
        <x:f>'Base longa'!L197</x:f>
        <x:v>420.3</x:v>
      </x:c>
      <x:c r="W12" s="69" t="n">
        <x:f>'Base longa'!M197</x:f>
        <x:v>489.4</x:v>
      </x:c>
      <x:c r="X12" s="53"/>
      <x:c r="Y12" s="66"/>
      <x:c r="Z12" s="96"/>
      <x:c r="AA12" s="69"/>
      <x:c r="AB12" s="69"/>
      <x:c r="AC12" s="69"/>
    </x:row>
    <x:row r="13">
      <x:c r="A13" s="56" t="str">
        <x:v>GERAL</x:v>
      </x:c>
      <x:c r="B13" s="95" t="n">
        <x:f>'Base longa'!G115</x:f>
        <x:v>8</x:v>
      </x:c>
      <x:c r="C13" s="57" t="n">
        <x:f>'Base longa'!K115</x:f>
        <x:v>200</x:v>
      </x:c>
      <x:c r="D13" s="57" t="n">
        <x:f>'Base longa'!L115</x:f>
        <x:v>214.3</x:v>
      </x:c>
      <x:c r="E13" s="57" t="n">
        <x:f>'Base longa'!M115</x:f>
        <x:v>234.7</x:v>
      </x:c>
      <x:c r="F13" s="53"/>
      <x:c r="G13" s="56" t="str">
        <x:v>LC</x:v>
      </x:c>
      <x:c r="H13" s="95" t="n">
        <x:f>'Base longa'!G166</x:f>
        <x:v>8</x:v>
      </x:c>
      <x:c r="I13" s="57" t="n">
        <x:f>'Base longa'!K166</x:f>
        <x:v>305.5</x:v>
      </x:c>
      <x:c r="J13" s="57" t="n">
        <x:f>'Base longa'!L166</x:f>
        <x:v>363.2</x:v>
      </x:c>
      <x:c r="K13" s="57" t="n">
        <x:f>'Base longa'!M166</x:f>
        <x:v>420.9</x:v>
      </x:c>
      <x:c r="L13" s="53"/>
      <x:c r="M13" s="56" t="str">
        <x:v>MT</x:v>
      </x:c>
      <x:c r="N13" s="95" t="n">
        <x:f>'Base longa'!G187</x:f>
        <x:v>8</x:v>
      </x:c>
      <x:c r="O13" s="57" t="n">
        <x:f>'Base longa'!K187</x:f>
        <x:v>651.2</x:v>
      </x:c>
      <x:c r="P13" s="57" t="n">
        <x:f>'Base longa'!L187</x:f>
        <x:v>705.6</x:v>
      </x:c>
      <x:c r="Q13" s="57" t="n">
        <x:f>'Base longa'!M187</x:f>
        <x:v>760</x:v>
      </x:c>
      <x:c r="R13" s="53"/>
      <x:c r="S13" s="56" t="str">
        <x:v>CH</x:v>
      </x:c>
      <x:c r="T13" s="95" t="n">
        <x:f>'Base longa'!G198</x:f>
        <x:v>8</x:v>
      </x:c>
      <x:c r="U13" s="57" t="n">
        <x:f>'Base longa'!K198</x:f>
        <x:v>411.1</x:v>
      </x:c>
      <x:c r="V13" s="57" t="n">
        <x:f>'Base longa'!L198</x:f>
        <x:v>480.2</x:v>
      </x:c>
      <x:c r="W13" s="57" t="n">
        <x:f>'Base longa'!M198</x:f>
        <x:v>549.3</x:v>
      </x:c>
      <x:c r="X13" s="53"/>
      <x:c r="Y13" s="56"/>
      <x:c r="Z13" s="95"/>
      <x:c r="AA13" s="57"/>
      <x:c r="AB13" s="57"/>
      <x:c r="AC13" s="57"/>
    </x:row>
    <x:row r="14">
      <x:c r="A14" s="66" t="str">
        <x:v>GERAL</x:v>
      </x:c>
      <x:c r="B14" s="96" t="n">
        <x:f>'Base longa'!G116</x:f>
        <x:v>9</x:v>
      </x:c>
      <x:c r="C14" s="69" t="n">
        <x:f>'Base longa'!K116</x:f>
        <x:v>200</x:v>
      </x:c>
      <x:c r="D14" s="69" t="n">
        <x:f>'Base longa'!L116</x:f>
        <x:v>221.8</x:v>
      </x:c>
      <x:c r="E14" s="69" t="n">
        <x:f>'Base longa'!M116</x:f>
        <x:v>244.2</x:v>
      </x:c>
      <x:c r="F14" s="53"/>
      <x:c r="G14" s="66" t="str">
        <x:v>LC</x:v>
      </x:c>
      <x:c r="H14" s="96" t="n">
        <x:f>'Base longa'!G167</x:f>
        <x:v>9</x:v>
      </x:c>
      <x:c r="I14" s="69" t="n">
        <x:f>'Base longa'!K167</x:f>
        <x:v>346.2</x:v>
      </x:c>
      <x:c r="J14" s="69" t="n">
        <x:f>'Base longa'!L167</x:f>
        <x:v>405.7</x:v>
      </x:c>
      <x:c r="K14" s="69" t="n">
        <x:f>'Base longa'!M167</x:f>
        <x:v>465.2</x:v>
      </x:c>
      <x:c r="L14" s="53"/>
      <x:c r="M14" s="66" t="str">
        <x:v>MT</x:v>
      </x:c>
      <x:c r="N14" s="96" t="n">
        <x:f>'Base longa'!G188</x:f>
        <x:v>9</x:v>
      </x:c>
      <x:c r="O14" s="69" t="n">
        <x:f>'Base longa'!K188</x:f>
        <x:v>734.6</x:v>
      </x:c>
      <x:c r="P14" s="69" t="n">
        <x:f>'Base longa'!L188</x:f>
        <x:v>765.2</x:v>
      </x:c>
      <x:c r="Q14" s="69" t="n">
        <x:f>'Base longa'!M188</x:f>
        <x:v>795.8</x:v>
      </x:c>
      <x:c r="R14" s="53"/>
      <x:c r="S14" s="66" t="str">
        <x:v>CH</x:v>
      </x:c>
      <x:c r="T14" s="96" t="n">
        <x:f>'Base longa'!G199</x:f>
        <x:v>9</x:v>
      </x:c>
      <x:c r="U14" s="69" t="n">
        <x:f>'Base longa'!K199</x:f>
        <x:v>474.2</x:v>
      </x:c>
      <x:c r="V14" s="69" t="n">
        <x:f>'Base longa'!L199</x:f>
        <x:v>540.8</x:v>
      </x:c>
      <x:c r="W14" s="69" t="n">
        <x:f>'Base longa'!M199</x:f>
        <x:v>607.4</x:v>
      </x:c>
      <x:c r="X14" s="53"/>
      <x:c r="Y14" s="66"/>
      <x:c r="Z14" s="96"/>
      <x:c r="AA14" s="69"/>
      <x:c r="AB14" s="69"/>
      <x:c r="AC14" s="69"/>
    </x:row>
    <x:row r="15">
      <x:c r="A15" s="56" t="str">
        <x:v>GERAL</x:v>
      </x:c>
      <x:c r="B15" s="95" t="n">
        <x:f>'Base longa'!G117</x:f>
        <x:v>10</x:v>
      </x:c>
      <x:c r="C15" s="57" t="n">
        <x:f>'Base longa'!K117</x:f>
        <x:v>206.1</x:v>
      </x:c>
      <x:c r="D15" s="57" t="n">
        <x:f>'Base longa'!L117</x:f>
        <x:v>230.4</x:v>
      </x:c>
      <x:c r="E15" s="57" t="n">
        <x:f>'Base longa'!M117</x:f>
        <x:v>254.7</x:v>
      </x:c>
      <x:c r="F15" s="53"/>
      <x:c r="G15" s="56" t="str">
        <x:v>LC</x:v>
      </x:c>
      <x:c r="H15" s="95" t="n">
        <x:f>'Base longa'!G168</x:f>
        <x:v>10</x:v>
      </x:c>
      <x:c r="I15" s="57" t="n">
        <x:f>'Base longa'!K168</x:f>
        <x:v>389.9</x:v>
      </x:c>
      <x:c r="J15" s="57" t="n">
        <x:f>'Base longa'!L168</x:f>
        <x:v>450</x:v>
      </x:c>
      <x:c r="K15" s="57" t="n">
        <x:f>'Base longa'!M168</x:f>
        <x:v>510.1</x:v>
      </x:c>
      <x:c r="L15" s="53"/>
      <x:c r="M15" s="56" t="str">
        <x:v>MT</x:v>
      </x:c>
      <x:c r="N15" s="95" t="n">
        <x:f>'Base longa'!G189</x:f>
        <x:v>10</x:v>
      </x:c>
      <x:c r="O15" s="57" t="n">
        <x:f>'Base longa'!K189</x:f>
        <x:v>800</x:v>
      </x:c>
      <x:c r="P15" s="57" t="n">
        <x:f>'Base longa'!L189</x:f>
        <x:v>800</x:v>
      </x:c>
      <x:c r="Q15" s="57" t="n">
        <x:f>'Base longa'!M189</x:f>
        <x:v>800</x:v>
      </x:c>
      <x:c r="R15" s="53"/>
      <x:c r="S15" s="56" t="str">
        <x:v>CH</x:v>
      </x:c>
      <x:c r="T15" s="95" t="n">
        <x:f>'Base longa'!G200</x:f>
        <x:v>10</x:v>
      </x:c>
      <x:c r="U15" s="57" t="n">
        <x:f>'Base longa'!K200</x:f>
        <x:v>538.3</x:v>
      </x:c>
      <x:c r="V15" s="57" t="n">
        <x:f>'Base longa'!L200</x:f>
        <x:v>600</x:v>
      </x:c>
      <x:c r="W15" s="57" t="n">
        <x:f>'Base longa'!M200</x:f>
        <x:v>661.7</x:v>
      </x:c>
      <x:c r="X15" s="53"/>
      <x:c r="Y15" s="56"/>
      <x:c r="Z15" s="95"/>
      <x:c r="AA15" s="57"/>
      <x:c r="AB15" s="57"/>
      <x:c r="AC15" s="57"/>
    </x:row>
    <x:row r="16">
      <x:c r="A16" s="66" t="str">
        <x:v>GERAL</x:v>
      </x:c>
      <x:c r="B16" s="96" t="n">
        <x:f>'Base longa'!G118</x:f>
        <x:v>11</x:v>
      </x:c>
      <x:c r="C16" s="69" t="n">
        <x:f>'Base longa'!K118</x:f>
        <x:v>213.9</x:v>
      </x:c>
      <x:c r="D16" s="69" t="n">
        <x:f>'Base longa'!L118</x:f>
        <x:v>240</x:v>
      </x:c>
      <x:c r="E16" s="69" t="n">
        <x:f>'Base longa'!M118</x:f>
        <x:v>266.1</x:v>
      </x:c>
      <x:c r="F16" s="53"/>
      <x:c r="G16" s="66" t="str">
        <x:v>LC</x:v>
      </x:c>
      <x:c r="H16" s="96" t="n">
        <x:f>'Base longa'!G169</x:f>
        <x:v>11</x:v>
      </x:c>
      <x:c r="I16" s="69" t="n">
        <x:f>'Base longa'!K169</x:f>
        <x:v>435.9</x:v>
      </x:c>
      <x:c r="J16" s="69" t="n">
        <x:f>'Base longa'!L169</x:f>
        <x:v>495.4</x:v>
      </x:c>
      <x:c r="K16" s="69" t="n">
        <x:f>'Base longa'!M169</x:f>
        <x:v>554.9</x:v>
      </x:c>
      <x:c r="L16" s="53"/>
      <x:c r="M16" s="66"/>
      <x:c r="N16" s="96"/>
      <x:c r="O16" s="69"/>
      <x:c r="P16" s="69"/>
      <x:c r="Q16" s="69"/>
      <x:c r="R16" s="53"/>
      <x:c r="S16" s="66" t="str">
        <x:v>CH</x:v>
      </x:c>
      <x:c r="T16" s="96" t="n">
        <x:f>'Base longa'!G201</x:f>
        <x:v>11</x:v>
      </x:c>
      <x:c r="U16" s="69" t="n">
        <x:f>'Base longa'!K201</x:f>
        <x:v>601.3</x:v>
      </x:c>
      <x:c r="V16" s="69" t="n">
        <x:f>'Base longa'!L201</x:f>
        <x:v>655.6</x:v>
      </x:c>
      <x:c r="W16" s="69" t="n">
        <x:f>'Base longa'!M201</x:f>
        <x:v>709.9</x:v>
      </x:c>
      <x:c r="X16" s="53"/>
      <x:c r="Y16" s="66"/>
      <x:c r="Z16" s="96"/>
      <x:c r="AA16" s="69"/>
      <x:c r="AB16" s="69"/>
      <x:c r="AC16" s="69"/>
    </x:row>
    <x:row r="17">
      <x:c r="A17" s="56" t="str">
        <x:v>GERAL</x:v>
      </x:c>
      <x:c r="B17" s="95" t="n">
        <x:f>'Base longa'!G119</x:f>
        <x:v>12</x:v>
      </x:c>
      <x:c r="C17" s="57" t="n">
        <x:f>'Base longa'!K119</x:f>
        <x:v>222.9</x:v>
      </x:c>
      <x:c r="D17" s="57" t="n">
        <x:f>'Base longa'!L119</x:f>
        <x:v>250.6</x:v>
      </x:c>
      <x:c r="E17" s="57" t="n">
        <x:f>'Base longa'!M119</x:f>
        <x:v>278.3</x:v>
      </x:c>
      <x:c r="F17" s="53"/>
      <x:c r="G17" s="56" t="str">
        <x:v>LC</x:v>
      </x:c>
      <x:c r="H17" s="95" t="n">
        <x:f>'Base longa'!G170</x:f>
        <x:v>12</x:v>
      </x:c>
      <x:c r="I17" s="57" t="n">
        <x:f>'Base longa'!K170</x:f>
        <x:v>483.1</x:v>
      </x:c>
      <x:c r="J17" s="57" t="n">
        <x:f>'Base longa'!L170</x:f>
        <x:v>540.8</x:v>
      </x:c>
      <x:c r="K17" s="57" t="n">
        <x:f>'Base longa'!M170</x:f>
        <x:v>598.5</x:v>
      </x:c>
      <x:c r="L17" s="53"/>
      <x:c r="M17" s="56"/>
      <x:c r="N17" s="95"/>
      <x:c r="O17" s="57"/>
      <x:c r="P17" s="57"/>
      <x:c r="Q17" s="57"/>
      <x:c r="R17" s="53"/>
      <x:c r="S17" s="56" t="str">
        <x:v>CH</x:v>
      </x:c>
      <x:c r="T17" s="95" t="n">
        <x:f>'Base longa'!G202</x:f>
        <x:v>12</x:v>
      </x:c>
      <x:c r="U17" s="57" t="n">
        <x:f>'Base longa'!K202</x:f>
        <x:v>661.2</x:v>
      </x:c>
      <x:c r="V17" s="57" t="n">
        <x:f>'Base longa'!L202</x:f>
        <x:v>705.6</x:v>
      </x:c>
      <x:c r="W17" s="57" t="n">
        <x:f>'Base longa'!M202</x:f>
        <x:v>750</x:v>
      </x:c>
      <x:c r="X17" s="53"/>
      <x:c r="Y17" s="56"/>
      <x:c r="Z17" s="95"/>
      <x:c r="AA17" s="57"/>
      <x:c r="AB17" s="57"/>
      <x:c r="AC17" s="57"/>
    </x:row>
    <x:row r="18">
      <x:c r="A18" s="66" t="str">
        <x:v>GERAL</x:v>
      </x:c>
      <x:c r="B18" s="96" t="n">
        <x:f>'Base longa'!G120</x:f>
        <x:v>13</x:v>
      </x:c>
      <x:c r="C18" s="69" t="n">
        <x:f>'Base longa'!K120</x:f>
        <x:v>232.8</x:v>
      </x:c>
      <x:c r="D18" s="69" t="n">
        <x:f>'Base longa'!L120</x:f>
        <x:v>262.1</x:v>
      </x:c>
      <x:c r="E18" s="69" t="n">
        <x:f>'Base longa'!M120</x:f>
        <x:v>291.4</x:v>
      </x:c>
      <x:c r="F18" s="53"/>
      <x:c r="G18" s="66" t="str">
        <x:v>LC</x:v>
      </x:c>
      <x:c r="H18" s="96" t="n">
        <x:f>'Base longa'!G171</x:f>
        <x:v>13</x:v>
      </x:c>
      <x:c r="I18" s="69" t="n">
        <x:f>'Base longa'!K171</x:f>
        <x:v>530.8</x:v>
      </x:c>
      <x:c r="J18" s="69" t="n">
        <x:f>'Base longa'!L171</x:f>
        <x:v>585.5</x:v>
      </x:c>
      <x:c r="K18" s="69" t="n">
        <x:f>'Base longa'!M171</x:f>
        <x:v>640.2</x:v>
      </x:c>
      <x:c r="L18" s="53"/>
      <x:c r="M18" s="66"/>
      <x:c r="N18" s="96"/>
      <x:c r="O18" s="69"/>
      <x:c r="P18" s="69"/>
      <x:c r="Q18" s="69"/>
      <x:c r="R18" s="53"/>
      <x:c r="S18" s="66" t="str">
        <x:v>CH</x:v>
      </x:c>
      <x:c r="T18" s="96" t="n">
        <x:f>'Base longa'!G203</x:f>
        <x:v>13</x:v>
      </x:c>
      <x:c r="U18" s="69" t="n">
        <x:f>'Base longa'!K203</x:f>
        <x:v>715.6</x:v>
      </x:c>
      <x:c r="V18" s="69" t="n">
        <x:f>'Base longa'!L203</x:f>
        <x:v>747.7</x:v>
      </x:c>
      <x:c r="W18" s="69" t="n">
        <x:f>'Base longa'!M203</x:f>
        <x:v>779.8</x:v>
      </x:c>
      <x:c r="X18" s="53"/>
      <x:c r="Y18" s="66"/>
      <x:c r="Z18" s="96"/>
      <x:c r="AA18" s="69"/>
      <x:c r="AB18" s="69"/>
      <x:c r="AC18" s="69"/>
    </x:row>
    <x:row r="19">
      <x:c r="A19" s="56" t="str">
        <x:v>GERAL</x:v>
      </x:c>
      <x:c r="B19" s="95" t="n">
        <x:f>'Base longa'!G121</x:f>
        <x:v>14</x:v>
      </x:c>
      <x:c r="C19" s="57" t="n">
        <x:f>'Base longa'!K121</x:f>
        <x:v>243.8</x:v>
      </x:c>
      <x:c r="D19" s="57" t="n">
        <x:f>'Base longa'!L121</x:f>
        <x:v>274.5</x:v>
      </x:c>
      <x:c r="E19" s="57" t="n">
        <x:f>'Base longa'!M121</x:f>
        <x:v>305.2</x:v>
      </x:c>
      <x:c r="F19" s="53"/>
      <x:c r="G19" s="56" t="str">
        <x:v>LC</x:v>
      </x:c>
      <x:c r="H19" s="95" t="n">
        <x:f>'Base longa'!G172</x:f>
        <x:v>14</x:v>
      </x:c>
      <x:c r="I19" s="57" t="n">
        <x:f>'Base longa'!K172</x:f>
        <x:v>577.9</x:v>
      </x:c>
      <x:c r="J19" s="57" t="n">
        <x:f>'Base longa'!L172</x:f>
        <x:v>628.4</x:v>
      </x:c>
      <x:c r="K19" s="57" t="n">
        <x:f>'Base longa'!M172</x:f>
        <x:v>678.9</x:v>
      </x:c>
      <x:c r="L19" s="53"/>
      <x:c r="M19" s="56"/>
      <x:c r="N19" s="95"/>
      <x:c r="O19" s="57"/>
      <x:c r="P19" s="57"/>
      <x:c r="Q19" s="57"/>
      <x:c r="R19" s="53"/>
      <x:c r="S19" s="56" t="str">
        <x:v>CH</x:v>
      </x:c>
      <x:c r="T19" s="95" t="n">
        <x:f>'Base longa'!G204</x:f>
        <x:v>14</x:v>
      </x:c>
      <x:c r="U19" s="57" t="n">
        <x:f>'Base longa'!K204</x:f>
        <x:v>762.6</x:v>
      </x:c>
      <x:c r="V19" s="57" t="n">
        <x:f>'Base longa'!L204</x:f>
        <x:v>779.9</x:v>
      </x:c>
      <x:c r="W19" s="57" t="n">
        <x:f>'Base longa'!M204</x:f>
        <x:v>797.2</x:v>
      </x:c>
      <x:c r="X19" s="53"/>
      <x:c r="Y19" s="56"/>
      <x:c r="Z19" s="95"/>
      <x:c r="AA19" s="57"/>
      <x:c r="AB19" s="57"/>
      <x:c r="AC19" s="57"/>
    </x:row>
    <x:row r="20">
      <x:c r="A20" s="66" t="str">
        <x:v>GERAL</x:v>
      </x:c>
      <x:c r="B20" s="96" t="n">
        <x:f>'Base longa'!G122</x:f>
        <x:v>15</x:v>
      </x:c>
      <x:c r="C20" s="69" t="n">
        <x:f>'Base longa'!K122</x:f>
        <x:v>255.7</x:v>
      </x:c>
      <x:c r="D20" s="69" t="n">
        <x:f>'Base longa'!L122</x:f>
        <x:v>287.6</x:v>
      </x:c>
      <x:c r="E20" s="69" t="n">
        <x:f>'Base longa'!M122</x:f>
        <x:v>319.5</x:v>
      </x:c>
      <x:c r="F20" s="53"/>
      <x:c r="G20" s="66" t="str">
        <x:v>LC</x:v>
      </x:c>
      <x:c r="H20" s="96" t="n">
        <x:f>'Base longa'!G173</x:f>
        <x:v>15</x:v>
      </x:c>
      <x:c r="I20" s="69" t="n">
        <x:f>'Base longa'!K173</x:f>
        <x:v>623.7</x:v>
      </x:c>
      <x:c r="J20" s="69" t="n">
        <x:f>'Base longa'!L173</x:f>
        <x:v>668.8</x:v>
      </x:c>
      <x:c r="K20" s="69" t="n">
        <x:f>'Base longa'!M173</x:f>
        <x:v>713.9</x:v>
      </x:c>
      <x:c r="L20" s="53"/>
      <x:c r="M20" s="66"/>
      <x:c r="N20" s="96"/>
      <x:c r="O20" s="69"/>
      <x:c r="P20" s="69"/>
      <x:c r="Q20" s="69"/>
      <x:c r="R20" s="53"/>
      <x:c r="S20" s="66" t="str">
        <x:v>CH</x:v>
      </x:c>
      <x:c r="T20" s="96" t="n">
        <x:f>'Base longa'!G205</x:f>
        <x:v>15</x:v>
      </x:c>
      <x:c r="U20" s="69" t="n">
        <x:f>'Base longa'!K205</x:f>
        <x:v>800</x:v>
      </x:c>
      <x:c r="V20" s="69" t="n">
        <x:f>'Base longa'!L205</x:f>
        <x:v>800</x:v>
      </x:c>
      <x:c r="W20" s="69" t="n">
        <x:f>'Base longa'!M205</x:f>
        <x:v>800</x:v>
      </x:c>
      <x:c r="X20" s="53"/>
      <x:c r="Y20" s="66"/>
      <x:c r="Z20" s="96"/>
      <x:c r="AA20" s="69"/>
      <x:c r="AB20" s="69"/>
      <x:c r="AC20" s="69"/>
    </x:row>
    <x:row r="21">
      <x:c r="A21" s="56" t="str">
        <x:v>GERAL</x:v>
      </x:c>
      <x:c r="B21" s="95" t="n">
        <x:f>'Base longa'!G123</x:f>
        <x:v>16</x:v>
      </x:c>
      <x:c r="C21" s="57" t="n">
        <x:f>'Base longa'!K123</x:f>
        <x:v>268.4</x:v>
      </x:c>
      <x:c r="D21" s="57" t="n">
        <x:f>'Base longa'!L123</x:f>
        <x:v>301.5</x:v>
      </x:c>
      <x:c r="E21" s="57" t="n">
        <x:f>'Base longa'!M123</x:f>
        <x:v>334.6</x:v>
      </x:c>
      <x:c r="F21" s="53"/>
      <x:c r="G21" s="56" t="str">
        <x:v>LC</x:v>
      </x:c>
      <x:c r="H21" s="95" t="n">
        <x:f>'Base longa'!G174</x:f>
        <x:v>16</x:v>
      </x:c>
      <x:c r="I21" s="57" t="n">
        <x:f>'Base longa'!K174</x:f>
        <x:v>667.1</x:v>
      </x:c>
      <x:c r="J21" s="57" t="n">
        <x:f>'Base longa'!L174</x:f>
        <x:v>705.6</x:v>
      </x:c>
      <x:c r="K21" s="57" t="n">
        <x:f>'Base longa'!M174</x:f>
        <x:v>744.1</x:v>
      </x:c>
      <x:c r="L21" s="53"/>
      <x:c r="M21" s="56"/>
      <x:c r="N21" s="95"/>
      <x:c r="O21" s="57"/>
      <x:c r="P21" s="57"/>
      <x:c r="Q21" s="57"/>
      <x:c r="R21" s="53"/>
      <x:c r="S21" s="56"/>
      <x:c r="T21" s="95"/>
      <x:c r="U21" s="57"/>
      <x:c r="V21" s="57"/>
      <x:c r="W21" s="57"/>
      <x:c r="X21" s="53"/>
      <x:c r="Y21" s="56"/>
      <x:c r="Z21" s="95"/>
      <x:c r="AA21" s="57"/>
      <x:c r="AB21" s="57"/>
      <x:c r="AC21" s="57"/>
    </x:row>
    <x:row r="22">
      <x:c r="A22" s="66" t="str">
        <x:v>GERAL</x:v>
      </x:c>
      <x:c r="B22" s="96" t="n">
        <x:f>'Base longa'!G124</x:f>
        <x:v>17</x:v>
      </x:c>
      <x:c r="C22" s="69" t="n">
        <x:f>'Base longa'!K124</x:f>
        <x:v>281.9</x:v>
      </x:c>
      <x:c r="D22" s="69" t="n">
        <x:f>'Base longa'!L124</x:f>
        <x:v>316</x:v>
      </x:c>
      <x:c r="E22" s="69" t="n">
        <x:f>'Base longa'!M124</x:f>
        <x:v>350.1</x:v>
      </x:c>
      <x:c r="F22" s="53"/>
      <x:c r="G22" s="66" t="str">
        <x:v>LC</x:v>
      </x:c>
      <x:c r="H22" s="96" t="n">
        <x:f>'Base longa'!G175</x:f>
        <x:v>17</x:v>
      </x:c>
      <x:c r="I22" s="69" t="n">
        <x:f>'Base longa'!K175</x:f>
        <x:v>707.3</x:v>
      </x:c>
      <x:c r="J22" s="69" t="n">
        <x:f>'Base longa'!L175</x:f>
        <x:v>738</x:v>
      </x:c>
      <x:c r="K22" s="69" t="n">
        <x:f>'Base longa'!M175</x:f>
        <x:v>768.7</x:v>
      </x:c>
      <x:c r="L22" s="53"/>
      <x:c r="M22" s="66"/>
      <x:c r="N22" s="96"/>
      <x:c r="O22" s="69"/>
      <x:c r="P22" s="69"/>
      <x:c r="Q22" s="69"/>
      <x:c r="R22" s="53"/>
      <x:c r="S22" s="66"/>
      <x:c r="T22" s="96"/>
      <x:c r="U22" s="69"/>
      <x:c r="V22" s="69"/>
      <x:c r="W22" s="69"/>
      <x:c r="X22" s="53"/>
      <x:c r="Y22" s="66"/>
      <x:c r="Z22" s="96"/>
      <x:c r="AA22" s="69"/>
      <x:c r="AB22" s="69"/>
      <x:c r="AC22" s="69"/>
    </x:row>
    <x:row r="23">
      <x:c r="A23" s="56" t="str">
        <x:v>GERAL</x:v>
      </x:c>
      <x:c r="B23" s="95" t="n">
        <x:f>'Base longa'!G125</x:f>
        <x:v>18</x:v>
      </x:c>
      <x:c r="C23" s="57" t="n">
        <x:f>'Base longa'!K125</x:f>
        <x:v>296.2</x:v>
      </x:c>
      <x:c r="D23" s="57" t="n">
        <x:f>'Base longa'!L125</x:f>
        <x:v>331.2</x:v>
      </x:c>
      <x:c r="E23" s="57" t="n">
        <x:f>'Base longa'!M125</x:f>
        <x:v>366.2</x:v>
      </x:c>
      <x:c r="F23" s="53"/>
      <x:c r="G23" s="56" t="str">
        <x:v>LC</x:v>
      </x:c>
      <x:c r="H23" s="95" t="n">
        <x:f>'Base longa'!G176</x:f>
        <x:v>18</x:v>
      </x:c>
      <x:c r="I23" s="57" t="n">
        <x:f>'Base longa'!K176</x:f>
        <x:v>743.6</x:v>
      </x:c>
      <x:c r="J23" s="57" t="n">
        <x:f>'Base longa'!L176</x:f>
        <x:v>765.2</x:v>
      </x:c>
      <x:c r="K23" s="57" t="n">
        <x:f>'Base longa'!M176</x:f>
        <x:v>786.8</x:v>
      </x:c>
      <x:c r="L23" s="53"/>
      <x:c r="M23" s="56"/>
      <x:c r="N23" s="95"/>
      <x:c r="O23" s="57"/>
      <x:c r="P23" s="57"/>
      <x:c r="Q23" s="57"/>
      <x:c r="R23" s="53"/>
      <x:c r="S23" s="56"/>
      <x:c r="T23" s="95"/>
      <x:c r="U23" s="57"/>
      <x:c r="V23" s="57"/>
      <x:c r="W23" s="57"/>
      <x:c r="X23" s="53"/>
      <x:c r="Y23" s="56"/>
      <x:c r="Z23" s="95"/>
      <x:c r="AA23" s="57"/>
      <x:c r="AB23" s="57"/>
      <x:c r="AC23" s="57"/>
    </x:row>
    <x:row r="24">
      <x:c r="A24" s="66" t="str">
        <x:v>GERAL</x:v>
      </x:c>
      <x:c r="B24" s="96" t="n">
        <x:f>'Base longa'!G126</x:f>
        <x:v>19</x:v>
      </x:c>
      <x:c r="C24" s="69" t="n">
        <x:f>'Base longa'!K126</x:f>
        <x:v>311.2</x:v>
      </x:c>
      <x:c r="D24" s="69" t="n">
        <x:f>'Base longa'!L126</x:f>
        <x:v>347</x:v>
      </x:c>
      <x:c r="E24" s="69" t="n">
        <x:f>'Base longa'!M126</x:f>
        <x:v>382.8</x:v>
      </x:c>
      <x:c r="F24" s="53"/>
      <x:c r="G24" s="66" t="str">
        <x:v>LC</x:v>
      </x:c>
      <x:c r="H24" s="96" t="n">
        <x:f>'Base longa'!G177</x:f>
        <x:v>19</x:v>
      </x:c>
      <x:c r="I24" s="69" t="n">
        <x:f>'Base longa'!K177</x:f>
        <x:v>774.8</x:v>
      </x:c>
      <x:c r="J24" s="69" t="n">
        <x:f>'Base longa'!L177</x:f>
        <x:v>786.2</x:v>
      </x:c>
      <x:c r="K24" s="69" t="n">
        <x:f>'Base longa'!M177</x:f>
        <x:v>797.6</x:v>
      </x:c>
      <x:c r="L24" s="53"/>
      <x:c r="M24" s="66"/>
      <x:c r="N24" s="96"/>
      <x:c r="O24" s="69"/>
      <x:c r="P24" s="69"/>
      <x:c r="Q24" s="69"/>
      <x:c r="R24" s="53"/>
      <x:c r="S24" s="66"/>
      <x:c r="T24" s="96"/>
      <x:c r="U24" s="69"/>
      <x:c r="V24" s="69"/>
      <x:c r="W24" s="69"/>
      <x:c r="X24" s="53"/>
      <x:c r="Y24" s="66"/>
      <x:c r="Z24" s="96"/>
      <x:c r="AA24" s="69"/>
      <x:c r="AB24" s="69"/>
      <x:c r="AC24" s="69"/>
    </x:row>
    <x:row r="25">
      <x:c r="A25" s="56" t="str">
        <x:v>GERAL</x:v>
      </x:c>
      <x:c r="B25" s="95" t="n">
        <x:f>'Base longa'!G127</x:f>
        <x:v>20</x:v>
      </x:c>
      <x:c r="C25" s="57" t="n">
        <x:f>'Base longa'!K127</x:f>
        <x:v>326.7</x:v>
      </x:c>
      <x:c r="D25" s="57" t="n">
        <x:f>'Base longa'!L127</x:f>
        <x:v>363.2</x:v>
      </x:c>
      <x:c r="E25" s="57" t="n">
        <x:f>'Base longa'!M127</x:f>
        <x:v>399.7</x:v>
      </x:c>
      <x:c r="F25" s="53"/>
      <x:c r="G25" s="56" t="str">
        <x:v>LC</x:v>
      </x:c>
      <x:c r="H25" s="95" t="n">
        <x:f>'Base longa'!G178</x:f>
        <x:v>20</x:v>
      </x:c>
      <x:c r="I25" s="57" t="n">
        <x:f>'Base longa'!K178</x:f>
        <x:v>800</x:v>
      </x:c>
      <x:c r="J25" s="57" t="n">
        <x:f>'Base longa'!L178</x:f>
        <x:v>800</x:v>
      </x:c>
      <x:c r="K25" s="57" t="n">
        <x:f>'Base longa'!M178</x:f>
        <x:v>800</x:v>
      </x:c>
      <x:c r="L25" s="53"/>
      <x:c r="M25" s="56"/>
      <x:c r="N25" s="95"/>
      <x:c r="O25" s="57"/>
      <x:c r="P25" s="57"/>
      <x:c r="Q25" s="57"/>
      <x:c r="R25" s="53"/>
      <x:c r="S25" s="56"/>
      <x:c r="T25" s="95"/>
      <x:c r="U25" s="57"/>
      <x:c r="V25" s="57"/>
      <x:c r="W25" s="57"/>
      <x:c r="X25" s="53"/>
      <x:c r="Y25" s="56"/>
      <x:c r="Z25" s="95"/>
      <x:c r="AA25" s="57"/>
      <x:c r="AB25" s="57"/>
      <x:c r="AC25" s="57"/>
    </x:row>
    <x:row r="26">
      <x:c r="A26" s="66" t="str">
        <x:v>GERAL</x:v>
      </x:c>
      <x:c r="B26" s="96" t="n">
        <x:f>'Base longa'!G128</x:f>
        <x:v>21</x:v>
      </x:c>
      <x:c r="C26" s="69" t="n">
        <x:f>'Base longa'!K128</x:f>
        <x:v>342.9</x:v>
      </x:c>
      <x:c r="D26" s="69" t="n">
        <x:f>'Base longa'!L128</x:f>
        <x:v>379.9</x:v>
      </x:c>
      <x:c r="E26" s="69" t="n">
        <x:f>'Base longa'!M128</x:f>
        <x:v>416.9</x:v>
      </x:c>
      <x:c r="F26" s="53"/>
      <x:c r="G26" s="66"/>
      <x:c r="H26" s="96"/>
      <x:c r="I26" s="69"/>
      <x:c r="J26" s="69"/>
      <x:c r="K26" s="69"/>
      <x:c r="L26" s="53"/>
      <x:c r="M26" s="66"/>
      <x:c r="N26" s="96"/>
      <x:c r="O26" s="69"/>
      <x:c r="P26" s="69"/>
      <x:c r="Q26" s="69"/>
      <x:c r="R26" s="53"/>
      <x:c r="S26" s="66"/>
      <x:c r="T26" s="96"/>
      <x:c r="U26" s="69"/>
      <x:c r="V26" s="69"/>
      <x:c r="W26" s="69"/>
      <x:c r="X26" s="53"/>
      <x:c r="Y26" s="66"/>
      <x:c r="Z26" s="96"/>
      <x:c r="AA26" s="69"/>
      <x:c r="AB26" s="69"/>
      <x:c r="AC26" s="69"/>
    </x:row>
    <x:row r="27">
      <x:c r="A27" s="56" t="str">
        <x:v>GERAL</x:v>
      </x:c>
      <x:c r="B27" s="95" t="n">
        <x:f>'Base longa'!G129</x:f>
        <x:v>22</x:v>
      </x:c>
      <x:c r="C27" s="57" t="n">
        <x:f>'Base longa'!K129</x:f>
        <x:v>359.5</x:v>
      </x:c>
      <x:c r="D27" s="57" t="n">
        <x:f>'Base longa'!L129</x:f>
        <x:v>397</x:v>
      </x:c>
      <x:c r="E27" s="57" t="n">
        <x:f>'Base longa'!M129</x:f>
        <x:v>434.5</x:v>
      </x:c>
      <x:c r="F27" s="53"/>
      <x:c r="G27" s="56"/>
      <x:c r="H27" s="95"/>
      <x:c r="I27" s="57"/>
      <x:c r="J27" s="57"/>
      <x:c r="K27" s="57"/>
      <x:c r="L27" s="53"/>
      <x:c r="M27" s="56"/>
      <x:c r="N27" s="95"/>
      <x:c r="O27" s="57"/>
      <x:c r="P27" s="57"/>
      <x:c r="Q27" s="57"/>
      <x:c r="R27" s="53"/>
      <x:c r="S27" s="56"/>
      <x:c r="T27" s="95"/>
      <x:c r="U27" s="57"/>
      <x:c r="V27" s="57"/>
      <x:c r="W27" s="57"/>
      <x:c r="X27" s="53"/>
      <x:c r="Y27" s="56"/>
      <x:c r="Z27" s="95"/>
      <x:c r="AA27" s="57"/>
      <x:c r="AB27" s="57"/>
      <x:c r="AC27" s="57"/>
    </x:row>
    <x:row r="28">
      <x:c r="A28" s="66" t="str">
        <x:v>GERAL</x:v>
      </x:c>
      <x:c r="B28" s="96" t="n">
        <x:f>'Base longa'!G130</x:f>
        <x:v>23</x:v>
      </x:c>
      <x:c r="C28" s="69" t="n">
        <x:f>'Base longa'!K130</x:f>
        <x:v>376.6</x:v>
      </x:c>
      <x:c r="D28" s="69" t="n">
        <x:f>'Base longa'!L130</x:f>
        <x:v>414.4</x:v>
      </x:c>
      <x:c r="E28" s="69" t="n">
        <x:f>'Base longa'!M130</x:f>
        <x:v>452.2</x:v>
      </x:c>
      <x:c r="F28" s="53"/>
      <x:c r="G28" s="66"/>
      <x:c r="H28" s="96"/>
      <x:c r="I28" s="69"/>
      <x:c r="J28" s="69"/>
      <x:c r="K28" s="69"/>
      <x:c r="L28" s="53"/>
      <x:c r="M28" s="66"/>
      <x:c r="N28" s="96"/>
      <x:c r="O28" s="69"/>
      <x:c r="P28" s="69"/>
      <x:c r="Q28" s="69"/>
      <x:c r="R28" s="53"/>
      <x:c r="S28" s="66"/>
      <x:c r="T28" s="96"/>
      <x:c r="U28" s="69"/>
      <x:c r="V28" s="69"/>
      <x:c r="W28" s="69"/>
      <x:c r="X28" s="53"/>
      <x:c r="Y28" s="66"/>
      <x:c r="Z28" s="96"/>
      <x:c r="AA28" s="69"/>
      <x:c r="AB28" s="69"/>
      <x:c r="AC28" s="69"/>
    </x:row>
    <x:row r="29">
      <x:c r="A29" s="56" t="str">
        <x:v>GERAL</x:v>
      </x:c>
      <x:c r="B29" s="95" t="n">
        <x:f>'Base longa'!G131</x:f>
        <x:v>24</x:v>
      </x:c>
      <x:c r="C29" s="57" t="n">
        <x:f>'Base longa'!K131</x:f>
        <x:v>394.1</x:v>
      </x:c>
      <x:c r="D29" s="57" t="n">
        <x:f>'Base longa'!L131</x:f>
        <x:v>432.1</x:v>
      </x:c>
      <x:c r="E29" s="57" t="n">
        <x:f>'Base longa'!M131</x:f>
        <x:v>470.1</x:v>
      </x:c>
      <x:c r="F29" s="53"/>
      <x:c r="G29" s="56"/>
      <x:c r="H29" s="95"/>
      <x:c r="I29" s="57"/>
      <x:c r="J29" s="57"/>
      <x:c r="K29" s="57"/>
      <x:c r="L29" s="53"/>
      <x:c r="M29" s="56"/>
      <x:c r="N29" s="95"/>
      <x:c r="O29" s="57"/>
      <x:c r="P29" s="57"/>
      <x:c r="Q29" s="57"/>
      <x:c r="R29" s="53"/>
      <x:c r="S29" s="56"/>
      <x:c r="T29" s="95"/>
      <x:c r="U29" s="57"/>
      <x:c r="V29" s="57"/>
      <x:c r="W29" s="57"/>
      <x:c r="X29" s="53"/>
      <x:c r="Y29" s="56"/>
      <x:c r="Z29" s="95"/>
      <x:c r="AA29" s="57"/>
      <x:c r="AB29" s="57"/>
      <x:c r="AC29" s="57"/>
    </x:row>
    <x:row r="30">
      <x:c r="A30" s="66" t="str">
        <x:v>GERAL</x:v>
      </x:c>
      <x:c r="B30" s="96" t="n">
        <x:f>'Base longa'!G132</x:f>
        <x:v>25</x:v>
      </x:c>
      <x:c r="C30" s="69" t="n">
        <x:f>'Base longa'!K132</x:f>
        <x:v>412</x:v>
      </x:c>
      <x:c r="D30" s="69" t="n">
        <x:f>'Base longa'!L132</x:f>
        <x:v>450</x:v>
      </x:c>
      <x:c r="E30" s="69" t="n">
        <x:f>'Base longa'!M132</x:f>
        <x:v>488</x:v>
      </x:c>
      <x:c r="F30" s="53"/>
      <x:c r="G30" s="66"/>
      <x:c r="H30" s="96"/>
      <x:c r="I30" s="69"/>
      <x:c r="J30" s="69"/>
      <x:c r="K30" s="69"/>
      <x:c r="L30" s="53"/>
      <x:c r="M30" s="66"/>
      <x:c r="N30" s="96"/>
      <x:c r="O30" s="69"/>
      <x:c r="P30" s="69"/>
      <x:c r="Q30" s="69"/>
      <x:c r="R30" s="53"/>
      <x:c r="S30" s="66"/>
      <x:c r="T30" s="96"/>
      <x:c r="U30" s="69"/>
      <x:c r="V30" s="69"/>
      <x:c r="W30" s="69"/>
      <x:c r="X30" s="53"/>
      <x:c r="Y30" s="66"/>
      <x:c r="Z30" s="96"/>
      <x:c r="AA30" s="69"/>
      <x:c r="AB30" s="69"/>
      <x:c r="AC30" s="69"/>
    </x:row>
    <x:row r="31">
      <x:c r="A31" s="56" t="str">
        <x:v>GERAL</x:v>
      </x:c>
      <x:c r="B31" s="95" t="n">
        <x:f>'Base longa'!G133</x:f>
        <x:v>26</x:v>
      </x:c>
      <x:c r="C31" s="57" t="n">
        <x:f>'Base longa'!K133</x:f>
        <x:v>430.1</x:v>
      </x:c>
      <x:c r="D31" s="57" t="n">
        <x:f>'Base longa'!L133</x:f>
        <x:v>468.1</x:v>
      </x:c>
      <x:c r="E31" s="57" t="n">
        <x:f>'Base longa'!M133</x:f>
        <x:v>506.1</x:v>
      </x:c>
      <x:c r="F31" s="53"/>
      <x:c r="G31" s="56"/>
      <x:c r="H31" s="95"/>
      <x:c r="I31" s="57"/>
      <x:c r="J31" s="57"/>
      <x:c r="K31" s="57"/>
      <x:c r="L31" s="53"/>
      <x:c r="M31" s="56"/>
      <x:c r="N31" s="95"/>
      <x:c r="O31" s="57"/>
      <x:c r="P31" s="57"/>
      <x:c r="Q31" s="57"/>
      <x:c r="R31" s="53"/>
      <x:c r="S31" s="56"/>
      <x:c r="T31" s="95"/>
      <x:c r="U31" s="57"/>
      <x:c r="V31" s="57"/>
      <x:c r="W31" s="57"/>
      <x:c r="X31" s="53"/>
      <x:c r="Y31" s="56"/>
      <x:c r="Z31" s="95"/>
      <x:c r="AA31" s="57"/>
      <x:c r="AB31" s="57"/>
      <x:c r="AC31" s="57"/>
    </x:row>
    <x:row r="32">
      <x:c r="A32" s="66" t="str">
        <x:v>GERAL</x:v>
      </x:c>
      <x:c r="B32" s="96" t="n">
        <x:f>'Base longa'!G134</x:f>
        <x:v>27</x:v>
      </x:c>
      <x:c r="C32" s="69" t="n">
        <x:f>'Base longa'!K134</x:f>
        <x:v>448.4</x:v>
      </x:c>
      <x:c r="D32" s="69" t="n">
        <x:f>'Base longa'!L134</x:f>
        <x:v>486.2</x:v>
      </x:c>
      <x:c r="E32" s="69" t="n">
        <x:f>'Base longa'!M134</x:f>
        <x:v>524</x:v>
      </x:c>
      <x:c r="F32" s="53"/>
      <x:c r="G32" s="66"/>
      <x:c r="H32" s="96"/>
      <x:c r="I32" s="69"/>
      <x:c r="J32" s="69"/>
      <x:c r="K32" s="69"/>
      <x:c r="L32" s="53"/>
      <x:c r="M32" s="66"/>
      <x:c r="N32" s="96"/>
      <x:c r="O32" s="69"/>
      <x:c r="P32" s="69"/>
      <x:c r="Q32" s="69"/>
      <x:c r="R32" s="53"/>
      <x:c r="S32" s="66"/>
      <x:c r="T32" s="96"/>
      <x:c r="U32" s="69"/>
      <x:c r="V32" s="69"/>
      <x:c r="W32" s="69"/>
      <x:c r="X32" s="53"/>
      <x:c r="Y32" s="66"/>
      <x:c r="Z32" s="96"/>
      <x:c r="AA32" s="69"/>
      <x:c r="AB32" s="69"/>
      <x:c r="AC32" s="69"/>
    </x:row>
    <x:row r="33">
      <x:c r="A33" s="56" t="str">
        <x:v>GERAL</x:v>
      </x:c>
      <x:c r="B33" s="95" t="n">
        <x:f>'Base longa'!G135</x:f>
        <x:v>28</x:v>
      </x:c>
      <x:c r="C33" s="57" t="n">
        <x:f>'Base longa'!K135</x:f>
        <x:v>467</x:v>
      </x:c>
      <x:c r="D33" s="57" t="n">
        <x:f>'Base longa'!L135</x:f>
        <x:v>504.5</x:v>
      </x:c>
      <x:c r="E33" s="57" t="n">
        <x:f>'Base longa'!M135</x:f>
        <x:v>542</x:v>
      </x:c>
      <x:c r="F33" s="53"/>
      <x:c r="G33" s="56"/>
      <x:c r="H33" s="95"/>
      <x:c r="I33" s="57"/>
      <x:c r="J33" s="57"/>
      <x:c r="K33" s="57"/>
      <x:c r="L33" s="53"/>
      <x:c r="M33" s="56"/>
      <x:c r="N33" s="95"/>
      <x:c r="O33" s="57"/>
      <x:c r="P33" s="57"/>
      <x:c r="Q33" s="57"/>
      <x:c r="R33" s="53"/>
      <x:c r="S33" s="56"/>
      <x:c r="T33" s="95"/>
      <x:c r="U33" s="57"/>
      <x:c r="V33" s="57"/>
      <x:c r="W33" s="57"/>
      <x:c r="X33" s="53"/>
      <x:c r="Y33" s="56"/>
      <x:c r="Z33" s="95"/>
      <x:c r="AA33" s="57"/>
      <x:c r="AB33" s="57"/>
      <x:c r="AC33" s="57"/>
    </x:row>
    <x:row r="34">
      <x:c r="A34" s="66" t="str">
        <x:v>GERAL</x:v>
      </x:c>
      <x:c r="B34" s="96" t="n">
        <x:f>'Base longa'!G136</x:f>
        <x:v>29</x:v>
      </x:c>
      <x:c r="C34" s="69" t="n">
        <x:f>'Base longa'!K136</x:f>
        <x:v>485.7</x:v>
      </x:c>
      <x:c r="D34" s="69" t="n">
        <x:f>'Base longa'!L136</x:f>
        <x:v>522.7</x:v>
      </x:c>
      <x:c r="E34" s="69" t="n">
        <x:f>'Base longa'!M136</x:f>
        <x:v>559.7</x:v>
      </x:c>
      <x:c r="F34" s="53"/>
      <x:c r="G34" s="66"/>
      <x:c r="H34" s="96"/>
      <x:c r="I34" s="69"/>
      <x:c r="J34" s="69"/>
      <x:c r="K34" s="69"/>
      <x:c r="L34" s="53"/>
      <x:c r="M34" s="66"/>
      <x:c r="N34" s="96"/>
      <x:c r="O34" s="69"/>
      <x:c r="P34" s="69"/>
      <x:c r="Q34" s="69"/>
      <x:c r="R34" s="53"/>
      <x:c r="S34" s="66"/>
      <x:c r="T34" s="96"/>
      <x:c r="U34" s="69"/>
      <x:c r="V34" s="69"/>
      <x:c r="W34" s="69"/>
      <x:c r="X34" s="53"/>
      <x:c r="Y34" s="66"/>
      <x:c r="Z34" s="96"/>
      <x:c r="AA34" s="69"/>
      <x:c r="AB34" s="69"/>
      <x:c r="AC34" s="69"/>
    </x:row>
    <x:row r="35">
      <x:c r="A35" s="56" t="str">
        <x:v>GERAL</x:v>
      </x:c>
      <x:c r="B35" s="95" t="n">
        <x:f>'Base longa'!G137</x:f>
        <x:v>30</x:v>
      </x:c>
      <x:c r="C35" s="57" t="n">
        <x:f>'Base longa'!K137</x:f>
        <x:v>504.3</x:v>
      </x:c>
      <x:c r="D35" s="57" t="n">
        <x:f>'Base longa'!L137</x:f>
        <x:v>540.8</x:v>
      </x:c>
      <x:c r="E35" s="57" t="n">
        <x:f>'Base longa'!M137</x:f>
        <x:v>577.3</x:v>
      </x:c>
      <x:c r="F35" s="53"/>
      <x:c r="G35" s="56"/>
      <x:c r="H35" s="95"/>
      <x:c r="I35" s="57"/>
      <x:c r="J35" s="57"/>
      <x:c r="K35" s="57"/>
      <x:c r="L35" s="53"/>
      <x:c r="M35" s="56"/>
      <x:c r="N35" s="95"/>
      <x:c r="O35" s="57"/>
      <x:c r="P35" s="57"/>
      <x:c r="Q35" s="57"/>
      <x:c r="R35" s="53"/>
      <x:c r="S35" s="56"/>
      <x:c r="T35" s="95"/>
      <x:c r="U35" s="57"/>
      <x:c r="V35" s="57"/>
      <x:c r="W35" s="57"/>
      <x:c r="X35" s="53"/>
      <x:c r="Y35" s="56"/>
      <x:c r="Z35" s="95"/>
      <x:c r="AA35" s="57"/>
      <x:c r="AB35" s="57"/>
      <x:c r="AC35" s="57"/>
    </x:row>
    <x:row r="36">
      <x:c r="A36" s="66" t="str">
        <x:v>GERAL</x:v>
      </x:c>
      <x:c r="B36" s="96" t="n">
        <x:f>'Base longa'!G138</x:f>
        <x:v>31</x:v>
      </x:c>
      <x:c r="C36" s="69" t="n">
        <x:f>'Base longa'!K138</x:f>
        <x:v>523</x:v>
      </x:c>
      <x:c r="D36" s="69" t="n">
        <x:f>'Base longa'!L138</x:f>
        <x:v>558.8</x:v>
      </x:c>
      <x:c r="E36" s="69" t="n">
        <x:f>'Base longa'!M138</x:f>
        <x:v>594.6</x:v>
      </x:c>
      <x:c r="F36" s="53"/>
      <x:c r="G36" s="66"/>
      <x:c r="H36" s="96"/>
      <x:c r="I36" s="69"/>
      <x:c r="J36" s="69"/>
      <x:c r="K36" s="69"/>
      <x:c r="L36" s="53"/>
      <x:c r="M36" s="66"/>
      <x:c r="N36" s="96"/>
      <x:c r="O36" s="69"/>
      <x:c r="P36" s="69"/>
      <x:c r="Q36" s="69"/>
      <x:c r="R36" s="53"/>
      <x:c r="S36" s="66"/>
      <x:c r="T36" s="96"/>
      <x:c r="U36" s="69"/>
      <x:c r="V36" s="69"/>
      <x:c r="W36" s="69"/>
      <x:c r="X36" s="53"/>
      <x:c r="Y36" s="66"/>
      <x:c r="Z36" s="96"/>
      <x:c r="AA36" s="69"/>
      <x:c r="AB36" s="69"/>
      <x:c r="AC36" s="69"/>
    </x:row>
    <x:row r="37">
      <x:c r="A37" s="56" t="str">
        <x:v>GERAL</x:v>
      </x:c>
      <x:c r="B37" s="95" t="n">
        <x:f>'Base longa'!G139</x:f>
        <x:v>32</x:v>
      </x:c>
      <x:c r="C37" s="57" t="n">
        <x:f>'Base longa'!K139</x:f>
        <x:v>541.6</x:v>
      </x:c>
      <x:c r="D37" s="57" t="n">
        <x:f>'Base longa'!L139</x:f>
        <x:v>576.6</x:v>
      </x:c>
      <x:c r="E37" s="57" t="n">
        <x:f>'Base longa'!M139</x:f>
        <x:v>611.6</x:v>
      </x:c>
      <x:c r="F37" s="53"/>
      <x:c r="G37" s="56"/>
      <x:c r="H37" s="95"/>
      <x:c r="I37" s="57"/>
      <x:c r="J37" s="57"/>
      <x:c r="K37" s="57"/>
      <x:c r="L37" s="53"/>
      <x:c r="M37" s="56"/>
      <x:c r="N37" s="95"/>
      <x:c r="O37" s="57"/>
      <x:c r="P37" s="57"/>
      <x:c r="Q37" s="57"/>
      <x:c r="R37" s="53"/>
      <x:c r="S37" s="56"/>
      <x:c r="T37" s="95"/>
      <x:c r="U37" s="57"/>
      <x:c r="V37" s="57"/>
      <x:c r="W37" s="57"/>
      <x:c r="X37" s="53"/>
      <x:c r="Y37" s="56"/>
      <x:c r="Z37" s="95"/>
      <x:c r="AA37" s="57"/>
      <x:c r="AB37" s="57"/>
      <x:c r="AC37" s="57"/>
    </x:row>
    <x:row r="38">
      <x:c r="A38" s="66" t="str">
        <x:v>GERAL</x:v>
      </x:c>
      <x:c r="B38" s="96" t="n">
        <x:f>'Base longa'!G140</x:f>
        <x:v>33</x:v>
      </x:c>
      <x:c r="C38" s="69" t="n">
        <x:f>'Base longa'!K140</x:f>
        <x:v>560.1</x:v>
      </x:c>
      <x:c r="D38" s="69" t="n">
        <x:f>'Base longa'!L140</x:f>
        <x:v>594.2</x:v>
      </x:c>
      <x:c r="E38" s="69" t="n">
        <x:f>'Base longa'!M140</x:f>
        <x:v>628.3</x:v>
      </x:c>
      <x:c r="F38" s="53"/>
      <x:c r="G38" s="66"/>
      <x:c r="H38" s="96"/>
      <x:c r="I38" s="69"/>
      <x:c r="J38" s="69"/>
      <x:c r="K38" s="69"/>
      <x:c r="L38" s="53"/>
      <x:c r="M38" s="66"/>
      <x:c r="N38" s="96"/>
      <x:c r="O38" s="69"/>
      <x:c r="P38" s="69"/>
      <x:c r="Q38" s="69"/>
      <x:c r="R38" s="53"/>
      <x:c r="S38" s="66"/>
      <x:c r="T38" s="96"/>
      <x:c r="U38" s="69"/>
      <x:c r="V38" s="69"/>
      <x:c r="W38" s="69"/>
      <x:c r="X38" s="53"/>
      <x:c r="Y38" s="66"/>
      <x:c r="Z38" s="96"/>
      <x:c r="AA38" s="69"/>
      <x:c r="AB38" s="69"/>
      <x:c r="AC38" s="69"/>
    </x:row>
    <x:row r="39">
      <x:c r="A39" s="56" t="str">
        <x:v>GERAL</x:v>
      </x:c>
      <x:c r="B39" s="95" t="n">
        <x:f>'Base longa'!G141</x:f>
        <x:v>34</x:v>
      </x:c>
      <x:c r="C39" s="57" t="n">
        <x:f>'Base longa'!K141</x:f>
        <x:v>578.4</x:v>
      </x:c>
      <x:c r="D39" s="57" t="n">
        <x:f>'Base longa'!L141</x:f>
        <x:v>611.5</x:v>
      </x:c>
      <x:c r="E39" s="57" t="n">
        <x:f>'Base longa'!M141</x:f>
        <x:v>644.6</x:v>
      </x:c>
      <x:c r="F39" s="53"/>
      <x:c r="G39" s="56"/>
      <x:c r="H39" s="95"/>
      <x:c r="I39" s="57"/>
      <x:c r="J39" s="57"/>
      <x:c r="K39" s="57"/>
      <x:c r="L39" s="53"/>
      <x:c r="M39" s="56"/>
      <x:c r="N39" s="95"/>
      <x:c r="O39" s="57"/>
      <x:c r="P39" s="57"/>
      <x:c r="Q39" s="57"/>
      <x:c r="R39" s="53"/>
      <x:c r="S39" s="56"/>
      <x:c r="T39" s="95"/>
      <x:c r="U39" s="57"/>
      <x:c r="V39" s="57"/>
      <x:c r="W39" s="57"/>
      <x:c r="X39" s="53"/>
      <x:c r="Y39" s="56"/>
      <x:c r="Z39" s="95"/>
      <x:c r="AA39" s="57"/>
      <x:c r="AB39" s="57"/>
      <x:c r="AC39" s="57"/>
    </x:row>
    <x:row r="40">
      <x:c r="A40" s="66" t="str">
        <x:v>GERAL</x:v>
      </x:c>
      <x:c r="B40" s="96" t="n">
        <x:f>'Base longa'!G142</x:f>
        <x:v>35</x:v>
      </x:c>
      <x:c r="C40" s="69" t="n">
        <x:f>'Base longa'!K142</x:f>
        <x:v>596.5</x:v>
      </x:c>
      <x:c r="D40" s="69" t="n">
        <x:f>'Base longa'!L142</x:f>
        <x:v>628.4</x:v>
      </x:c>
      <x:c r="E40" s="69" t="n">
        <x:f>'Base longa'!M142</x:f>
        <x:v>660.3</x:v>
      </x:c>
      <x:c r="F40" s="53"/>
      <x:c r="G40" s="66"/>
      <x:c r="H40" s="96"/>
      <x:c r="I40" s="69"/>
      <x:c r="J40" s="69"/>
      <x:c r="K40" s="69"/>
      <x:c r="L40" s="53"/>
      <x:c r="M40" s="66"/>
      <x:c r="N40" s="96"/>
      <x:c r="O40" s="69"/>
      <x:c r="P40" s="69"/>
      <x:c r="Q40" s="69"/>
      <x:c r="R40" s="53"/>
      <x:c r="S40" s="66"/>
      <x:c r="T40" s="96"/>
      <x:c r="U40" s="69"/>
      <x:c r="V40" s="69"/>
      <x:c r="W40" s="69"/>
      <x:c r="X40" s="53"/>
      <x:c r="Y40" s="66"/>
      <x:c r="Z40" s="96"/>
      <x:c r="AA40" s="69"/>
      <x:c r="AB40" s="69"/>
      <x:c r="AC40" s="69"/>
    </x:row>
    <x:row r="41">
      <x:c r="A41" s="56" t="str">
        <x:v>GERAL</x:v>
      </x:c>
      <x:c r="B41" s="95" t="n">
        <x:f>'Base longa'!G143</x:f>
        <x:v>36</x:v>
      </x:c>
      <x:c r="C41" s="57" t="n">
        <x:f>'Base longa'!K143</x:f>
        <x:v>614.2</x:v>
      </x:c>
      <x:c r="D41" s="57" t="n">
        <x:f>'Base longa'!L143</x:f>
        <x:v>644.9</x:v>
      </x:c>
      <x:c r="E41" s="57" t="n">
        <x:f>'Base longa'!M143</x:f>
        <x:v>675.6</x:v>
      </x:c>
      <x:c r="F41" s="53"/>
      <x:c r="G41" s="56"/>
      <x:c r="H41" s="95"/>
      <x:c r="I41" s="57"/>
      <x:c r="J41" s="57"/>
      <x:c r="K41" s="57"/>
      <x:c r="L41" s="53"/>
      <x:c r="M41" s="56"/>
      <x:c r="N41" s="95"/>
      <x:c r="O41" s="57"/>
      <x:c r="P41" s="57"/>
      <x:c r="Q41" s="57"/>
      <x:c r="R41" s="53"/>
      <x:c r="S41" s="56"/>
      <x:c r="T41" s="95"/>
      <x:c r="U41" s="57"/>
      <x:c r="V41" s="57"/>
      <x:c r="W41" s="57"/>
      <x:c r="X41" s="53"/>
      <x:c r="Y41" s="56"/>
      <x:c r="Z41" s="95"/>
      <x:c r="AA41" s="57"/>
      <x:c r="AB41" s="57"/>
      <x:c r="AC41" s="57"/>
    </x:row>
    <x:row r="42">
      <x:c r="A42" s="66" t="str">
        <x:v>GERAL</x:v>
      </x:c>
      <x:c r="B42" s="96" t="n">
        <x:f>'Base longa'!G144</x:f>
        <x:v>37</x:v>
      </x:c>
      <x:c r="C42" s="69" t="n">
        <x:f>'Base longa'!K144</x:f>
        <x:v>631.6</x:v>
      </x:c>
      <x:c r="D42" s="69" t="n">
        <x:f>'Base longa'!L144</x:f>
        <x:v>660.9</x:v>
      </x:c>
      <x:c r="E42" s="69" t="n">
        <x:f>'Base longa'!M144</x:f>
        <x:v>690.2</x:v>
      </x:c>
      <x:c r="F42" s="53"/>
      <x:c r="G42" s="66"/>
      <x:c r="H42" s="96"/>
      <x:c r="I42" s="69"/>
      <x:c r="J42" s="69"/>
      <x:c r="K42" s="69"/>
      <x:c r="L42" s="53"/>
      <x:c r="M42" s="66"/>
      <x:c r="N42" s="96"/>
      <x:c r="O42" s="69"/>
      <x:c r="P42" s="69"/>
      <x:c r="Q42" s="69"/>
      <x:c r="R42" s="53"/>
      <x:c r="S42" s="66"/>
      <x:c r="T42" s="96"/>
      <x:c r="U42" s="69"/>
      <x:c r="V42" s="69"/>
      <x:c r="W42" s="69"/>
      <x:c r="X42" s="53"/>
      <x:c r="Y42" s="66"/>
      <x:c r="Z42" s="96"/>
      <x:c r="AA42" s="69"/>
      <x:c r="AB42" s="69"/>
      <x:c r="AC42" s="69"/>
    </x:row>
    <x:row r="43">
      <x:c r="A43" s="56" t="str">
        <x:v>GERAL</x:v>
      </x:c>
      <x:c r="B43" s="95" t="n">
        <x:f>'Base longa'!G145</x:f>
        <x:v>38</x:v>
      </x:c>
      <x:c r="C43" s="57" t="n">
        <x:f>'Base longa'!K145</x:f>
        <x:v>648.7</x:v>
      </x:c>
      <x:c r="D43" s="57" t="n">
        <x:f>'Base longa'!L145</x:f>
        <x:v>676.4</x:v>
      </x:c>
      <x:c r="E43" s="57" t="n">
        <x:f>'Base longa'!M145</x:f>
        <x:v>704.1</x:v>
      </x:c>
      <x:c r="F43" s="53"/>
      <x:c r="G43" s="56"/>
      <x:c r="H43" s="95"/>
      <x:c r="I43" s="57"/>
      <x:c r="J43" s="57"/>
      <x:c r="K43" s="57"/>
      <x:c r="L43" s="53"/>
      <x:c r="M43" s="56"/>
      <x:c r="N43" s="95"/>
      <x:c r="O43" s="57"/>
      <x:c r="P43" s="57"/>
      <x:c r="Q43" s="57"/>
      <x:c r="R43" s="53"/>
      <x:c r="S43" s="56"/>
      <x:c r="T43" s="95"/>
      <x:c r="U43" s="57"/>
      <x:c r="V43" s="57"/>
      <x:c r="W43" s="57"/>
      <x:c r="X43" s="53"/>
      <x:c r="Y43" s="56"/>
      <x:c r="Z43" s="95"/>
      <x:c r="AA43" s="57"/>
      <x:c r="AB43" s="57"/>
      <x:c r="AC43" s="57"/>
    </x:row>
    <x:row r="44">
      <x:c r="A44" s="66" t="str">
        <x:v>GERAL</x:v>
      </x:c>
      <x:c r="B44" s="96" t="n">
        <x:f>'Base longa'!G146</x:f>
        <x:v>39</x:v>
      </x:c>
      <x:c r="C44" s="69" t="n">
        <x:f>'Base longa'!K146</x:f>
        <x:v>665.2</x:v>
      </x:c>
      <x:c r="D44" s="69" t="n">
        <x:f>'Base longa'!L146</x:f>
        <x:v>691.3</x:v>
      </x:c>
      <x:c r="E44" s="69" t="n">
        <x:f>'Base longa'!M146</x:f>
        <x:v>717.4</x:v>
      </x:c>
      <x:c r="F44" s="53"/>
      <x:c r="G44" s="66"/>
      <x:c r="H44" s="96"/>
      <x:c r="I44" s="69"/>
      <x:c r="J44" s="69"/>
      <x:c r="K44" s="69"/>
      <x:c r="L44" s="53"/>
      <x:c r="M44" s="66"/>
      <x:c r="N44" s="96"/>
      <x:c r="O44" s="69"/>
      <x:c r="P44" s="69"/>
      <x:c r="Q44" s="69"/>
      <x:c r="R44" s="53"/>
      <x:c r="S44" s="66"/>
      <x:c r="T44" s="96"/>
      <x:c r="U44" s="69"/>
      <x:c r="V44" s="69"/>
      <x:c r="W44" s="69"/>
      <x:c r="X44" s="53"/>
      <x:c r="Y44" s="66"/>
      <x:c r="Z44" s="96"/>
      <x:c r="AA44" s="69"/>
      <x:c r="AB44" s="69"/>
      <x:c r="AC44" s="69"/>
    </x:row>
    <x:row r="45">
      <x:c r="A45" s="56" t="str">
        <x:v>GERAL</x:v>
      </x:c>
      <x:c r="B45" s="95" t="n">
        <x:f>'Base longa'!G147</x:f>
        <x:v>40</x:v>
      </x:c>
      <x:c r="C45" s="57" t="n">
        <x:f>'Base longa'!K147</x:f>
        <x:v>681.3</x:v>
      </x:c>
      <x:c r="D45" s="57" t="n">
        <x:f>'Base longa'!L147</x:f>
        <x:v>705.6</x:v>
      </x:c>
      <x:c r="E45" s="57" t="n">
        <x:f>'Base longa'!M147</x:f>
        <x:v>729.9</x:v>
      </x:c>
      <x:c r="F45" s="53"/>
      <x:c r="G45" s="56"/>
      <x:c r="H45" s="95"/>
      <x:c r="I45" s="57"/>
      <x:c r="J45" s="57"/>
      <x:c r="K45" s="57"/>
      <x:c r="L45" s="53"/>
      <x:c r="M45" s="56"/>
      <x:c r="N45" s="95"/>
      <x:c r="O45" s="57"/>
      <x:c r="P45" s="57"/>
      <x:c r="Q45" s="57"/>
      <x:c r="R45" s="53"/>
      <x:c r="S45" s="56"/>
      <x:c r="T45" s="95"/>
      <x:c r="U45" s="57"/>
      <x:c r="V45" s="57"/>
      <x:c r="W45" s="57"/>
      <x:c r="X45" s="53"/>
      <x:c r="Y45" s="56"/>
      <x:c r="Z45" s="95"/>
      <x:c r="AA45" s="57"/>
      <x:c r="AB45" s="57"/>
      <x:c r="AC45" s="57"/>
    </x:row>
    <x:row r="46">
      <x:c r="A46" s="66" t="str">
        <x:v>GERAL</x:v>
      </x:c>
      <x:c r="B46" s="96" t="n">
        <x:f>'Base longa'!G148</x:f>
        <x:v>41</x:v>
      </x:c>
      <x:c r="C46" s="69" t="n">
        <x:f>'Base longa'!K148</x:f>
        <x:v>696.8</x:v>
      </x:c>
      <x:c r="D46" s="69" t="n">
        <x:f>'Base longa'!L148</x:f>
        <x:v>719.2</x:v>
      </x:c>
      <x:c r="E46" s="69" t="n">
        <x:f>'Base longa'!M148</x:f>
        <x:v>741.6</x:v>
      </x:c>
      <x:c r="F46" s="53"/>
      <x:c r="G46" s="66"/>
      <x:c r="H46" s="96"/>
      <x:c r="I46" s="69"/>
      <x:c r="J46" s="69"/>
      <x:c r="K46" s="69"/>
      <x:c r="L46" s="53"/>
      <x:c r="M46" s="66"/>
      <x:c r="N46" s="96"/>
      <x:c r="O46" s="69"/>
      <x:c r="P46" s="69"/>
      <x:c r="Q46" s="69"/>
      <x:c r="R46" s="53"/>
      <x:c r="S46" s="66"/>
      <x:c r="T46" s="96"/>
      <x:c r="U46" s="69"/>
      <x:c r="V46" s="69"/>
      <x:c r="W46" s="69"/>
      <x:c r="X46" s="53"/>
      <x:c r="Y46" s="66"/>
      <x:c r="Z46" s="96"/>
      <x:c r="AA46" s="69"/>
      <x:c r="AB46" s="69"/>
      <x:c r="AC46" s="69"/>
    </x:row>
    <x:row r="47">
      <x:c r="A47" s="56" t="str">
        <x:v>GERAL</x:v>
      </x:c>
      <x:c r="B47" s="95" t="n">
        <x:f>'Base longa'!G149</x:f>
        <x:v>42</x:v>
      </x:c>
      <x:c r="C47" s="57" t="n">
        <x:f>'Base longa'!K149</x:f>
        <x:v>711.6</x:v>
      </x:c>
      <x:c r="D47" s="57" t="n">
        <x:f>'Base longa'!L149</x:f>
        <x:v>732</x:v>
      </x:c>
      <x:c r="E47" s="57" t="n">
        <x:f>'Base longa'!M149</x:f>
        <x:v>752.4</x:v>
      </x:c>
      <x:c r="F47" s="53"/>
      <x:c r="G47" s="56"/>
      <x:c r="H47" s="95"/>
      <x:c r="I47" s="57"/>
      <x:c r="J47" s="57"/>
      <x:c r="K47" s="57"/>
      <x:c r="L47" s="53"/>
      <x:c r="M47" s="56"/>
      <x:c r="N47" s="95"/>
      <x:c r="O47" s="57"/>
      <x:c r="P47" s="57"/>
      <x:c r="Q47" s="57"/>
      <x:c r="R47" s="53"/>
      <x:c r="S47" s="56"/>
      <x:c r="T47" s="95"/>
      <x:c r="U47" s="57"/>
      <x:c r="V47" s="57"/>
      <x:c r="W47" s="57"/>
      <x:c r="X47" s="53"/>
      <x:c r="Y47" s="56"/>
      <x:c r="Z47" s="95"/>
      <x:c r="AA47" s="57"/>
      <x:c r="AB47" s="57"/>
      <x:c r="AC47" s="57"/>
    </x:row>
    <x:row r="48">
      <x:c r="A48" s="66" t="str">
        <x:v>GERAL</x:v>
      </x:c>
      <x:c r="B48" s="96" t="n">
        <x:f>'Base longa'!G150</x:f>
        <x:v>43</x:v>
      </x:c>
      <x:c r="C48" s="69" t="n">
        <x:f>'Base longa'!K150</x:f>
        <x:v>725.6</x:v>
      </x:c>
      <x:c r="D48" s="69" t="n">
        <x:f>'Base longa'!L150</x:f>
        <x:v>743.9</x:v>
      </x:c>
      <x:c r="E48" s="69" t="n">
        <x:f>'Base longa'!M150</x:f>
        <x:v>762.2</x:v>
      </x:c>
      <x:c r="F48" s="53"/>
      <x:c r="G48" s="66"/>
      <x:c r="H48" s="96"/>
      <x:c r="I48" s="69"/>
      <x:c r="J48" s="69"/>
      <x:c r="K48" s="69"/>
      <x:c r="L48" s="53"/>
      <x:c r="M48" s="66"/>
      <x:c r="N48" s="96"/>
      <x:c r="O48" s="69"/>
      <x:c r="P48" s="69"/>
      <x:c r="Q48" s="69"/>
      <x:c r="R48" s="53"/>
      <x:c r="S48" s="66"/>
      <x:c r="T48" s="96"/>
      <x:c r="U48" s="69"/>
      <x:c r="V48" s="69"/>
      <x:c r="W48" s="69"/>
      <x:c r="X48" s="53"/>
      <x:c r="Y48" s="66"/>
      <x:c r="Z48" s="96"/>
      <x:c r="AA48" s="69"/>
      <x:c r="AB48" s="69"/>
      <x:c r="AC48" s="69"/>
    </x:row>
    <x:row r="49">
      <x:c r="A49" s="56" t="str">
        <x:v>GERAL</x:v>
      </x:c>
      <x:c r="B49" s="95" t="n">
        <x:f>'Base longa'!G151</x:f>
        <x:v>44</x:v>
      </x:c>
      <x:c r="C49" s="57" t="n">
        <x:f>'Base longa'!K151</x:f>
        <x:v>738.9</x:v>
      </x:c>
      <x:c r="D49" s="57" t="n">
        <x:f>'Base longa'!L151</x:f>
        <x:v>755</x:v>
      </x:c>
      <x:c r="E49" s="57" t="n">
        <x:f>'Base longa'!M151</x:f>
        <x:v>771.1</x:v>
      </x:c>
      <x:c r="F49" s="53"/>
      <x:c r="G49" s="56"/>
      <x:c r="H49" s="95"/>
      <x:c r="I49" s="57"/>
      <x:c r="J49" s="57"/>
      <x:c r="K49" s="57"/>
      <x:c r="L49" s="53"/>
      <x:c r="M49" s="56"/>
      <x:c r="N49" s="95"/>
      <x:c r="O49" s="57"/>
      <x:c r="P49" s="57"/>
      <x:c r="Q49" s="57"/>
      <x:c r="R49" s="53"/>
      <x:c r="S49" s="56"/>
      <x:c r="T49" s="95"/>
      <x:c r="U49" s="57"/>
      <x:c r="V49" s="57"/>
      <x:c r="W49" s="57"/>
      <x:c r="X49" s="53"/>
      <x:c r="Y49" s="56"/>
      <x:c r="Z49" s="95"/>
      <x:c r="AA49" s="57"/>
      <x:c r="AB49" s="57"/>
      <x:c r="AC49" s="57"/>
    </x:row>
    <x:row r="50">
      <x:c r="A50" s="66" t="str">
        <x:v>GERAL</x:v>
      </x:c>
      <x:c r="B50" s="96" t="n">
        <x:f>'Base longa'!G152</x:f>
        <x:v>45</x:v>
      </x:c>
      <x:c r="C50" s="69" t="n">
        <x:f>'Base longa'!K152</x:f>
        <x:v>751.5</x:v>
      </x:c>
      <x:c r="D50" s="69" t="n">
        <x:f>'Base longa'!L152</x:f>
        <x:v>765.2</x:v>
      </x:c>
      <x:c r="E50" s="69" t="n">
        <x:f>'Base longa'!M152</x:f>
        <x:v>778.9</x:v>
      </x:c>
      <x:c r="F50" s="53"/>
      <x:c r="G50" s="66"/>
      <x:c r="H50" s="96"/>
      <x:c r="I50" s="69"/>
      <x:c r="J50" s="69"/>
      <x:c r="K50" s="69"/>
      <x:c r="L50" s="53"/>
      <x:c r="M50" s="66"/>
      <x:c r="N50" s="96"/>
      <x:c r="O50" s="69"/>
      <x:c r="P50" s="69"/>
      <x:c r="Q50" s="69"/>
      <x:c r="R50" s="53"/>
      <x:c r="S50" s="66"/>
      <x:c r="T50" s="96"/>
      <x:c r="U50" s="69"/>
      <x:c r="V50" s="69"/>
      <x:c r="W50" s="69"/>
      <x:c r="X50" s="53"/>
      <x:c r="Y50" s="66"/>
      <x:c r="Z50" s="96"/>
      <x:c r="AA50" s="69"/>
      <x:c r="AB50" s="69"/>
      <x:c r="AC50" s="69"/>
    </x:row>
    <x:row r="51">
      <x:c r="A51" s="56" t="str">
        <x:v>GERAL</x:v>
      </x:c>
      <x:c r="B51" s="95" t="n">
        <x:f>'Base longa'!G153</x:f>
        <x:v>46</x:v>
      </x:c>
      <x:c r="C51" s="57" t="n">
        <x:f>'Base longa'!K153</x:f>
        <x:v>763.2</x:v>
      </x:c>
      <x:c r="D51" s="57" t="n">
        <x:f>'Base longa'!L153</x:f>
        <x:v>774.4</x:v>
      </x:c>
      <x:c r="E51" s="57" t="n">
        <x:f>'Base longa'!M153</x:f>
        <x:v>785.6</x:v>
      </x:c>
      <x:c r="F51" s="53"/>
      <x:c r="G51" s="56"/>
      <x:c r="H51" s="95"/>
      <x:c r="I51" s="57"/>
      <x:c r="J51" s="57"/>
      <x:c r="K51" s="57"/>
      <x:c r="L51" s="53"/>
      <x:c r="M51" s="56"/>
      <x:c r="N51" s="95"/>
      <x:c r="O51" s="57"/>
      <x:c r="P51" s="57"/>
      <x:c r="Q51" s="57"/>
      <x:c r="R51" s="53"/>
      <x:c r="S51" s="56"/>
      <x:c r="T51" s="95"/>
      <x:c r="U51" s="57"/>
      <x:c r="V51" s="57"/>
      <x:c r="W51" s="57"/>
      <x:c r="X51" s="53"/>
      <x:c r="Y51" s="56"/>
      <x:c r="Z51" s="95"/>
      <x:c r="AA51" s="57"/>
      <x:c r="AB51" s="57"/>
      <x:c r="AC51" s="57"/>
    </x:row>
    <x:row r="52">
      <x:c r="A52" s="66" t="str">
        <x:v>GERAL</x:v>
      </x:c>
      <x:c r="B52" s="96" t="n">
        <x:f>'Base longa'!G154</x:f>
        <x:v>47</x:v>
      </x:c>
      <x:c r="C52" s="69" t="n">
        <x:f>'Base longa'!K154</x:f>
        <x:v>773.9</x:v>
      </x:c>
      <x:c r="D52" s="69" t="n">
        <x:f>'Base longa'!L154</x:f>
        <x:v>782.5</x:v>
      </x:c>
      <x:c r="E52" s="69" t="n">
        <x:f>'Base longa'!M154</x:f>
        <x:v>791.1</x:v>
      </x:c>
      <x:c r="F52" s="53"/>
      <x:c r="G52" s="66"/>
      <x:c r="H52" s="96"/>
      <x:c r="I52" s="69"/>
      <x:c r="J52" s="69"/>
      <x:c r="K52" s="69"/>
      <x:c r="L52" s="53"/>
      <x:c r="M52" s="66"/>
      <x:c r="N52" s="96"/>
      <x:c r="O52" s="69"/>
      <x:c r="P52" s="69"/>
      <x:c r="Q52" s="69"/>
      <x:c r="R52" s="53"/>
      <x:c r="S52" s="66"/>
      <x:c r="T52" s="96"/>
      <x:c r="U52" s="69"/>
      <x:c r="V52" s="69"/>
      <x:c r="W52" s="69"/>
      <x:c r="X52" s="53"/>
      <x:c r="Y52" s="66"/>
      <x:c r="Z52" s="96"/>
      <x:c r="AA52" s="69"/>
      <x:c r="AB52" s="69"/>
      <x:c r="AC52" s="69"/>
    </x:row>
    <x:row r="53">
      <x:c r="A53" s="56" t="str">
        <x:v>GERAL</x:v>
      </x:c>
      <x:c r="B53" s="95" t="n">
        <x:f>'Base longa'!G155</x:f>
        <x:v>48</x:v>
      </x:c>
      <x:c r="C53" s="57" t="n">
        <x:f>'Base longa'!K155</x:f>
        <x:v>783.7</x:v>
      </x:c>
      <x:c r="D53" s="57" t="n">
        <x:f>'Base longa'!L155</x:f>
        <x:v>789.5</x:v>
      </x:c>
      <x:c r="E53" s="57" t="n">
        <x:f>'Base longa'!M155</x:f>
        <x:v>795.3</x:v>
      </x:c>
      <x:c r="F53" s="53"/>
      <x:c r="G53" s="56"/>
      <x:c r="H53" s="95"/>
      <x:c r="I53" s="57"/>
      <x:c r="J53" s="57"/>
      <x:c r="K53" s="57"/>
      <x:c r="L53" s="53"/>
      <x:c r="M53" s="56"/>
      <x:c r="N53" s="95"/>
      <x:c r="O53" s="57"/>
      <x:c r="P53" s="57"/>
      <x:c r="Q53" s="57"/>
      <x:c r="R53" s="53"/>
      <x:c r="S53" s="56"/>
      <x:c r="T53" s="95"/>
      <x:c r="U53" s="57"/>
      <x:c r="V53" s="57"/>
      <x:c r="W53" s="57"/>
      <x:c r="X53" s="53"/>
      <x:c r="Y53" s="56"/>
      <x:c r="Z53" s="95"/>
      <x:c r="AA53" s="57"/>
      <x:c r="AB53" s="57"/>
      <x:c r="AC53" s="57"/>
    </x:row>
    <x:row r="54">
      <x:c r="A54" s="66" t="str">
        <x:v>GERAL</x:v>
      </x:c>
      <x:c r="B54" s="96" t="n">
        <x:f>'Base longa'!G156</x:f>
        <x:v>49</x:v>
      </x:c>
      <x:c r="C54" s="69" t="n">
        <x:f>'Base longa'!K156</x:f>
        <x:v>792.4</x:v>
      </x:c>
      <x:c r="D54" s="69" t="n">
        <x:f>'Base longa'!L156</x:f>
        <x:v>795.4</x:v>
      </x:c>
      <x:c r="E54" s="69" t="n">
        <x:f>'Base longa'!M156</x:f>
        <x:v>798.4</x:v>
      </x:c>
      <x:c r="F54" s="53"/>
      <x:c r="G54" s="66"/>
      <x:c r="H54" s="96"/>
      <x:c r="I54" s="69"/>
      <x:c r="J54" s="69"/>
      <x:c r="K54" s="69"/>
      <x:c r="L54" s="53"/>
      <x:c r="M54" s="66"/>
      <x:c r="N54" s="96"/>
      <x:c r="O54" s="69"/>
      <x:c r="P54" s="69"/>
      <x:c r="Q54" s="69"/>
      <x:c r="R54" s="53"/>
      <x:c r="S54" s="66"/>
      <x:c r="T54" s="96"/>
      <x:c r="U54" s="69"/>
      <x:c r="V54" s="69"/>
      <x:c r="W54" s="69"/>
      <x:c r="X54" s="53"/>
      <x:c r="Y54" s="66"/>
      <x:c r="Z54" s="96"/>
      <x:c r="AA54" s="69"/>
      <x:c r="AB54" s="69"/>
      <x:c r="AC54" s="69"/>
    </x:row>
    <x:row r="55">
      <x:c r="A55" s="56" t="str">
        <x:v>GERAL</x:v>
      </x:c>
      <x:c r="B55" s="95" t="n">
        <x:f>'Base longa'!G157</x:f>
        <x:v>50</x:v>
      </x:c>
      <x:c r="C55" s="57" t="n">
        <x:f>'Base longa'!K157</x:f>
        <x:v>800</x:v>
      </x:c>
      <x:c r="D55" s="57" t="n">
        <x:f>'Base longa'!L157</x:f>
        <x:v>800</x:v>
      </x:c>
      <x:c r="E55" s="57" t="n">
        <x:f>'Base longa'!M157</x:f>
        <x:v>800</x:v>
      </x:c>
      <x:c r="F55" s="53"/>
      <x:c r="G55" s="56"/>
      <x:c r="H55" s="95"/>
      <x:c r="I55" s="57"/>
      <x:c r="J55" s="57"/>
      <x:c r="K55" s="57"/>
      <x:c r="L55" s="53"/>
      <x:c r="M55" s="56"/>
      <x:c r="N55" s="95"/>
      <x:c r="O55" s="57"/>
      <x:c r="P55" s="57"/>
      <x:c r="Q55" s="57"/>
      <x:c r="R55" s="53"/>
      <x:c r="S55" s="56"/>
      <x:c r="T55" s="95"/>
      <x:c r="U55" s="57"/>
      <x:c r="V55" s="57"/>
      <x:c r="W55" s="57"/>
      <x:c r="X55" s="53"/>
      <x:c r="Y55" s="56"/>
      <x:c r="Z55" s="95"/>
      <x:c r="AA55" s="57"/>
      <x:c r="AB55" s="57"/>
      <x:c r="AC55" s="57"/>
    </x:row>
    <x:row r="56">
      <x:c r="A56" s="53"/>
      <x:c r="B56" s="53"/>
      <x:c r="C56" s="53"/>
      <x:c r="D56" s="53"/>
      <x:c r="E56" s="53"/>
      <x:c r="F56" s="53"/>
      <x:c r="G56" s="53"/>
      <x:c r="H56" s="53"/>
      <x:c r="I56" s="53"/>
      <x:c r="J56" s="53"/>
      <x:c r="K56" s="53"/>
      <x:c r="L56" s="53"/>
      <x:c r="M56" s="53"/>
      <x:c r="N56" s="53"/>
      <x:c r="O56" s="53"/>
      <x:c r="P56" s="53"/>
      <x:c r="Q56" s="53"/>
      <x:c r="R56" s="53"/>
      <x:c r="S56" s="53"/>
      <x:c r="T56" s="53"/>
      <x:c r="U56" s="53"/>
      <x:c r="V56" s="53"/>
      <x:c r="W56" s="53"/>
      <x:c r="X56" s="53"/>
      <x:c r="Y56" s="53"/>
      <x:c r="Z56" s="53"/>
      <x:c r="AA56" s="53"/>
      <x:c r="AB56" s="53"/>
      <x:c r="AC56" s="53"/>
    </x:row>
    <x:row r="57">
      <x:c r="A57" s="53"/>
      <x:c r="B57" s="53"/>
      <x:c r="C57" s="53"/>
      <x:c r="D57" s="53"/>
      <x:c r="E57" s="53"/>
      <x:c r="F57" s="53"/>
      <x:c r="G57" s="53"/>
      <x:c r="H57" s="53"/>
      <x:c r="I57" s="53"/>
      <x:c r="J57" s="53"/>
      <x:c r="K57" s="53"/>
      <x:c r="L57" s="53"/>
      <x:c r="M57" s="53"/>
      <x:c r="N57" s="53"/>
      <x:c r="O57" s="53"/>
      <x:c r="P57" s="53"/>
      <x:c r="Q57" s="53"/>
      <x:c r="R57" s="53"/>
      <x:c r="S57" s="53"/>
      <x:c r="T57" s="53"/>
      <x:c r="U57" s="53"/>
      <x:c r="V57" s="53"/>
      <x:c r="W57" s="53"/>
      <x:c r="X57" s="53"/>
      <x:c r="Y57" s="53"/>
      <x:c r="Z57" s="53"/>
      <x:c r="AA57" s="53"/>
      <x:c r="AB57" s="53"/>
      <x:c r="AC57" s="53"/>
    </x:row>
    <x:row r="58" ht="28" customHeight="1">
      <x:c r="A58" s="97" t="str">
        <x:v>LEITURA: a mesma quantidade de acertos pode gerar resultados distintos conforme a dificuldade e a coerência do padrão de respostas. Por isso, mínimo e máximo são possibilidades, não garantias.</x:v>
      </x:c>
      <x:c r="B58" s="97"/>
      <x:c r="C58" s="97"/>
      <x:c r="D58" s="97"/>
      <x:c r="E58" s="97"/>
      <x:c r="F58" s="97"/>
      <x:c r="G58" s="97"/>
      <x:c r="H58" s="97"/>
      <x:c r="I58" s="97"/>
      <x:c r="J58" s="97"/>
      <x:c r="K58" s="97"/>
      <x:c r="L58" s="97"/>
      <x:c r="M58" s="97"/>
      <x:c r="N58" s="97"/>
      <x:c r="O58" s="97"/>
      <x:c r="P58" s="97"/>
      <x:c r="Q58" s="97"/>
      <x:c r="R58" s="97"/>
      <x:c r="S58" s="97"/>
      <x:c r="T58" s="97"/>
      <x:c r="U58" s="97"/>
      <x:c r="V58" s="97"/>
      <x:c r="W58" s="97"/>
      <x:c r="X58" s="97"/>
      <x:c r="Y58" s="97"/>
      <x:c r="Z58" s="97"/>
      <x:c r="AA58" s="97"/>
      <x:c r="AB58" s="97"/>
      <x:c r="AC58" s="97"/>
    </x:row>
    <x:row r="59">
      <x:c r="A59" s="98" t="str">
        <x:v>Status: hipótese pré-calibração. O quadro GERAL resume o total bruto e não substitui a análise por área. Consulte a aba Premissas antes de usar os valores em relatórios.</x:v>
      </x:c>
      <x:c r="B59" s="98"/>
      <x:c r="C59" s="98"/>
      <x:c r="D59" s="98"/>
      <x:c r="E59" s="98"/>
      <x:c r="F59" s="98"/>
      <x:c r="G59" s="98"/>
      <x:c r="H59" s="98"/>
      <x:c r="I59" s="98"/>
      <x:c r="J59" s="98"/>
      <x:c r="K59" s="98"/>
      <x:c r="L59" s="98"/>
      <x:c r="M59" s="98"/>
      <x:c r="N59" s="98"/>
      <x:c r="O59" s="98"/>
      <x:c r="P59" s="98"/>
      <x:c r="Q59" s="98"/>
      <x:c r="R59" s="98"/>
      <x:c r="S59" s="98"/>
      <x:c r="T59" s="98"/>
      <x:c r="U59" s="98"/>
      <x:c r="V59" s="98"/>
      <x:c r="W59" s="98"/>
      <x:c r="X59" s="98"/>
      <x:c r="Y59" s="98"/>
      <x:c r="Z59" s="98"/>
      <x:c r="AA59" s="98"/>
      <x:c r="AB59" s="98"/>
      <x:c r="AC59" s="98"/>
    </x:row>
  </x:sheetData>
  <x:mergeCells>
    <x:mergeCell ref="A1:AC1"/>
    <x:mergeCell ref="A2:AC2"/>
    <x:mergeCell ref="A3:E3"/>
    <x:mergeCell ref="G3:K3"/>
    <x:mergeCell ref="M3:Q3"/>
    <x:mergeCell ref="S3:W3"/>
    <x:mergeCell ref="Y3:AC3"/>
    <x:mergeCell ref="A58:AC58"/>
    <x:mergeCell ref="A59:AC5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7" max="7" width="9" hidden="0" customWidth="1"/>
    <x:col min="8" max="8" width="10" hidden="0" customWidth="1"/>
    <x:col min="9" max="9" width="12" hidden="0" customWidth="1"/>
    <x:col min="10" max="10" width="12" hidden="0" customWidth="1"/>
    <x:col min="11" max="11" width="12" hidden="0" customWidth="1"/>
    <x:col min="13" max="13" width="9" hidden="0" customWidth="1"/>
    <x:col min="14" max="14" width="10" hidden="0" customWidth="1"/>
    <x:col min="15" max="15" width="12" hidden="0" customWidth="1"/>
    <x:col min="16" max="16" width="12" hidden="0" customWidth="1"/>
    <x:col min="17" max="17" width="12" hidden="0" customWidth="1"/>
    <x:col min="19" max="19" width="9" hidden="0" customWidth="1"/>
    <x:col min="20" max="20" width="10" hidden="0" customWidth="1"/>
    <x:col min="21" max="21" width="12" hidden="0" customWidth="1"/>
    <x:col min="22" max="22" width="12" hidden="0" customWidth="1"/>
    <x:col min="23" max="23" width="12" hidden="0" customWidth="1"/>
    <x:col min="25" max="25" width="9" hidden="0" customWidth="1"/>
    <x:col min="26" max="26" width="10" hidden="0" customWidth="1"/>
    <x:col min="27" max="27" width="12" hidden="0" customWidth="1"/>
    <x:col min="28" max="28" width="12" hidden="0" customWidth="1"/>
    <x:col min="29" max="29" width="12" hidden="0" customWidth="1"/>
    <x:col min="6" max="6" width="2.5" hidden="0" customWidth="1"/>
    <x:col min="12" max="12" width="2.5" hidden="0" customWidth="1"/>
    <x:col min="18" max="18" width="2.5" hidden="0" customWidth="1"/>
    <x:col min="24" max="24" width="2.5" hidden="0" customWidth="1"/>
  </x:cols>
  <x:sheetData>
    <x:row r="1" ht="32" customHeight="1">
      <x:c r="A1" s="49" t="str">
        <x:v>TABELA DE REFERÊNCIA PROVISÓRIA — 8º ANO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  <x:c r="P1" s="49"/>
      <x:c r="Q1" s="49"/>
      <x:c r="R1" s="49"/>
      <x:c r="S1" s="49"/>
      <x:c r="T1" s="49"/>
      <x:c r="U1" s="49"/>
      <x:c r="V1" s="49"/>
      <x:c r="W1" s="49"/>
      <x:c r="X1" s="49"/>
      <x:c r="Y1" s="49"/>
      <x:c r="Z1" s="49"/>
      <x:c r="AA1" s="49"/>
      <x:c r="AB1" s="49"/>
      <x:c r="AC1" s="49"/>
    </x:row>
    <x:row r="2">
      <x:c r="A2" s="93" t="str">
        <x:v>Escala vertical comum 7º–9º | hipótese inicial sujeita a calibração e itens-âncora</x:v>
      </x:c>
      <x:c r="B2" s="93"/>
      <x:c r="C2" s="93"/>
      <x:c r="D2" s="93"/>
      <x:c r="E2" s="93"/>
      <x:c r="F2" s="93"/>
      <x:c r="G2" s="93"/>
      <x:c r="H2" s="93"/>
      <x:c r="I2" s="93"/>
      <x:c r="J2" s="93"/>
      <x:c r="K2" s="93"/>
      <x:c r="L2" s="93"/>
      <x:c r="M2" s="93"/>
      <x:c r="N2" s="93"/>
      <x:c r="O2" s="93"/>
      <x:c r="P2" s="93"/>
      <x:c r="Q2" s="93"/>
      <x:c r="R2" s="93"/>
      <x:c r="S2" s="93"/>
      <x:c r="T2" s="93"/>
      <x:c r="U2" s="93"/>
      <x:c r="V2" s="93"/>
      <x:c r="W2" s="93"/>
      <x:c r="X2" s="93"/>
      <x:c r="Y2" s="93"/>
      <x:c r="Z2" s="93"/>
      <x:c r="AA2" s="93"/>
      <x:c r="AB2" s="93"/>
      <x:c r="AC2" s="93"/>
    </x:row>
    <x:row r="3">
      <x:c r="A3" s="54" t="str">
        <x:v>GERAL — GERAL (TOTAL BRUTO) (50 ITENS)</x:v>
      </x:c>
      <x:c r="B3" s="54"/>
      <x:c r="C3" s="54"/>
      <x:c r="D3" s="54"/>
      <x:c r="E3" s="54"/>
      <x:c r="F3" s="53"/>
      <x:c r="G3" s="54" t="str">
        <x:v>LC — LINGUAGENS (20 ITENS)</x:v>
      </x:c>
      <x:c r="H3" s="54"/>
      <x:c r="I3" s="54"/>
      <x:c r="J3" s="54"/>
      <x:c r="K3" s="54"/>
      <x:c r="L3" s="53"/>
      <x:c r="M3" s="54" t="str">
        <x:v>MT — MATEMÁTICA (10 ITENS)</x:v>
      </x:c>
      <x:c r="N3" s="54"/>
      <x:c r="O3" s="54"/>
      <x:c r="P3" s="54"/>
      <x:c r="Q3" s="54"/>
      <x:c r="R3" s="53"/>
      <x:c r="S3" s="54" t="str">
        <x:v>CH — CIÊNCIAS HUMANAS (15 ITENS)</x:v>
      </x:c>
      <x:c r="T3" s="54"/>
      <x:c r="U3" s="54"/>
      <x:c r="V3" s="54"/>
      <x:c r="W3" s="54"/>
      <x:c r="X3" s="53"/>
      <x:c r="Y3" s="54" t="str">
        <x:v>CN — CIÊNCIAS DA NATUREZA (5 ITENS)</x:v>
      </x:c>
      <x:c r="Z3" s="54"/>
      <x:c r="AA3" s="54"/>
      <x:c r="AB3" s="54"/>
      <x:c r="AC3" s="54"/>
    </x:row>
    <x:row r="4">
      <x:c r="A4" s="94" t="str">
        <x:v>Área</x:v>
      </x:c>
      <x:c r="B4" s="94" t="str">
        <x:v>Acertos</x:v>
      </x:c>
      <x:c r="C4" s="94" t="str">
        <x:v>Mínimo</x:v>
      </x:c>
      <x:c r="D4" s="94" t="str">
        <x:v>Mediana</x:v>
      </x:c>
      <x:c r="E4" s="94" t="str">
        <x:v>Máximo</x:v>
      </x:c>
      <x:c r="F4" s="53"/>
      <x:c r="G4" s="94" t="str">
        <x:v>Área</x:v>
      </x:c>
      <x:c r="H4" s="94" t="str">
        <x:v>Acertos</x:v>
      </x:c>
      <x:c r="I4" s="94" t="str">
        <x:v>Mínimo</x:v>
      </x:c>
      <x:c r="J4" s="94" t="str">
        <x:v>Mediana</x:v>
      </x:c>
      <x:c r="K4" s="94" t="str">
        <x:v>Máximo</x:v>
      </x:c>
      <x:c r="L4" s="53"/>
      <x:c r="M4" s="94" t="str">
        <x:v>Área</x:v>
      </x:c>
      <x:c r="N4" s="94" t="str">
        <x:v>Acertos</x:v>
      </x:c>
      <x:c r="O4" s="94" t="str">
        <x:v>Mínimo</x:v>
      </x:c>
      <x:c r="P4" s="94" t="str">
        <x:v>Mediana</x:v>
      </x:c>
      <x:c r="Q4" s="94" t="str">
        <x:v>Máximo</x:v>
      </x:c>
      <x:c r="R4" s="53"/>
      <x:c r="S4" s="94" t="str">
        <x:v>Área</x:v>
      </x:c>
      <x:c r="T4" s="94" t="str">
        <x:v>Acertos</x:v>
      </x:c>
      <x:c r="U4" s="94" t="str">
        <x:v>Mínimo</x:v>
      </x:c>
      <x:c r="V4" s="94" t="str">
        <x:v>Mediana</x:v>
      </x:c>
      <x:c r="W4" s="94" t="str">
        <x:v>Máximo</x:v>
      </x:c>
      <x:c r="X4" s="53"/>
      <x:c r="Y4" s="94" t="str">
        <x:v>Área</x:v>
      </x:c>
      <x:c r="Z4" s="94" t="str">
        <x:v>Acertos</x:v>
      </x:c>
      <x:c r="AA4" s="94" t="str">
        <x:v>Mínimo</x:v>
      </x:c>
      <x:c r="AB4" s="94" t="str">
        <x:v>Mediana</x:v>
      </x:c>
      <x:c r="AC4" s="94" t="str">
        <x:v>Máximo</x:v>
      </x:c>
    </x:row>
    <x:row r="5">
      <x:c r="A5" s="56" t="str">
        <x:v>GERAL</x:v>
      </x:c>
      <x:c r="B5" s="95" t="n">
        <x:f>'Base longa'!G212</x:f>
        <x:v>0</x:v>
      </x:c>
      <x:c r="C5" s="57" t="n">
        <x:f>'Base longa'!K212</x:f>
        <x:v>200</x:v>
      </x:c>
      <x:c r="D5" s="57" t="n">
        <x:f>'Base longa'!L212</x:f>
        <x:v>200</x:v>
      </x:c>
      <x:c r="E5" s="57" t="n">
        <x:f>'Base longa'!M212</x:f>
        <x:v>200</x:v>
      </x:c>
      <x:c r="F5" s="53"/>
      <x:c r="G5" s="56" t="str">
        <x:v>LC</x:v>
      </x:c>
      <x:c r="H5" s="95" t="n">
        <x:f>'Base longa'!G263</x:f>
        <x:v>0</x:v>
      </x:c>
      <x:c r="I5" s="57" t="n">
        <x:f>'Base longa'!K263</x:f>
        <x:v>200</x:v>
      </x:c>
      <x:c r="J5" s="57" t="n">
        <x:f>'Base longa'!L263</x:f>
        <x:v>200</x:v>
      </x:c>
      <x:c r="K5" s="57" t="n">
        <x:f>'Base longa'!M263</x:f>
        <x:v>200</x:v>
      </x:c>
      <x:c r="L5" s="53"/>
      <x:c r="M5" s="56" t="str">
        <x:v>MT</x:v>
      </x:c>
      <x:c r="N5" s="95" t="n">
        <x:f>'Base longa'!G284</x:f>
        <x:v>0</x:v>
      </x:c>
      <x:c r="O5" s="57" t="n">
        <x:f>'Base longa'!K284</x:f>
        <x:v>200</x:v>
      </x:c>
      <x:c r="P5" s="57" t="n">
        <x:f>'Base longa'!L284</x:f>
        <x:v>200</x:v>
      </x:c>
      <x:c r="Q5" s="57" t="n">
        <x:f>'Base longa'!M284</x:f>
        <x:v>200</x:v>
      </x:c>
      <x:c r="R5" s="53"/>
      <x:c r="S5" s="56" t="str">
        <x:v>CH</x:v>
      </x:c>
      <x:c r="T5" s="95" t="n">
        <x:f>'Base longa'!G295</x:f>
        <x:v>0</x:v>
      </x:c>
      <x:c r="U5" s="57" t="n">
        <x:f>'Base longa'!K295</x:f>
        <x:v>200</x:v>
      </x:c>
      <x:c r="V5" s="57" t="n">
        <x:f>'Base longa'!L295</x:f>
        <x:v>200</x:v>
      </x:c>
      <x:c r="W5" s="57" t="n">
        <x:f>'Base longa'!M295</x:f>
        <x:v>200</x:v>
      </x:c>
      <x:c r="X5" s="53"/>
      <x:c r="Y5" s="56" t="str">
        <x:v>CN</x:v>
      </x:c>
      <x:c r="Z5" s="95" t="n">
        <x:f>'Base longa'!G311</x:f>
        <x:v>0</x:v>
      </x:c>
      <x:c r="AA5" s="57" t="n">
        <x:f>'Base longa'!K311</x:f>
        <x:v>200</x:v>
      </x:c>
      <x:c r="AB5" s="57" t="n">
        <x:f>'Base longa'!L311</x:f>
        <x:v>200</x:v>
      </x:c>
      <x:c r="AC5" s="57" t="n">
        <x:f>'Base longa'!M311</x:f>
        <x:v>200</x:v>
      </x:c>
    </x:row>
    <x:row r="6">
      <x:c r="A6" s="66" t="str">
        <x:v>GERAL</x:v>
      </x:c>
      <x:c r="B6" s="96" t="n">
        <x:f>'Base longa'!G213</x:f>
        <x:v>1</x:v>
      </x:c>
      <x:c r="C6" s="69" t="n">
        <x:f>'Base longa'!K213</x:f>
        <x:v>200</x:v>
      </x:c>
      <x:c r="D6" s="69" t="n">
        <x:f>'Base longa'!L213</x:f>
        <x:v>200.7</x:v>
      </x:c>
      <x:c r="E6" s="69" t="n">
        <x:f>'Base longa'!M213</x:f>
        <x:v>203.7</x:v>
      </x:c>
      <x:c r="F6" s="53"/>
      <x:c r="G6" s="66" t="str">
        <x:v>LC</x:v>
      </x:c>
      <x:c r="H6" s="96" t="n">
        <x:f>'Base longa'!G264</x:f>
        <x:v>1</x:v>
      </x:c>
      <x:c r="I6" s="69" t="n">
        <x:f>'Base longa'!K264</x:f>
        <x:v>200</x:v>
      </x:c>
      <x:c r="J6" s="69" t="n">
        <x:f>'Base longa'!L264</x:f>
        <x:v>204.4</x:v>
      </x:c>
      <x:c r="K6" s="69" t="n">
        <x:f>'Base longa'!M264</x:f>
        <x:v>215.8</x:v>
      </x:c>
      <x:c r="L6" s="53"/>
      <x:c r="M6" s="66" t="str">
        <x:v>MT</x:v>
      </x:c>
      <x:c r="N6" s="96" t="n">
        <x:f>'Base longa'!G285</x:f>
        <x:v>1</x:v>
      </x:c>
      <x:c r="O6" s="69" t="n">
        <x:f>'Base longa'!K285</x:f>
        <x:v>200</x:v>
      </x:c>
      <x:c r="P6" s="69" t="n">
        <x:f>'Base longa'!L285</x:f>
        <x:v>216.8</x:v>
      </x:c>
      <x:c r="Q6" s="69" t="n">
        <x:f>'Base longa'!M285</x:f>
        <x:v>247.4</x:v>
      </x:c>
      <x:c r="R6" s="53"/>
      <x:c r="S6" s="66" t="str">
        <x:v>CH</x:v>
      </x:c>
      <x:c r="T6" s="96" t="n">
        <x:f>'Base longa'!G296</x:f>
        <x:v>1</x:v>
      </x:c>
      <x:c r="U6" s="69" t="n">
        <x:f>'Base longa'!K296</x:f>
        <x:v>200</x:v>
      </x:c>
      <x:c r="V6" s="69" t="n">
        <x:f>'Base longa'!L296</x:f>
        <x:v>207.6</x:v>
      </x:c>
      <x:c r="W6" s="69" t="n">
        <x:f>'Base longa'!M296</x:f>
        <x:v>224.9</x:v>
      </x:c>
      <x:c r="X6" s="53"/>
      <x:c r="Y6" s="66" t="str">
        <x:v>CN</x:v>
      </x:c>
      <x:c r="Z6" s="96" t="n">
        <x:f>'Base longa'!G312</x:f>
        <x:v>1</x:v>
      </x:c>
      <x:c r="AA6" s="69" t="n">
        <x:f>'Base longa'!K312</x:f>
        <x:v>200</x:v>
      </x:c>
      <x:c r="AB6" s="69" t="n">
        <x:f>'Base longa'!L312</x:f>
        <x:v>262.4</x:v>
      </x:c>
      <x:c r="AC6" s="69" t="n">
        <x:f>'Base longa'!M312</x:f>
        <x:v>339.3</x:v>
      </x:c>
    </x:row>
    <x:row r="7">
      <x:c r="A7" s="56" t="str">
        <x:v>GERAL</x:v>
      </x:c>
      <x:c r="B7" s="95" t="n">
        <x:f>'Base longa'!G214</x:f>
        <x:v>2</x:v>
      </x:c>
      <x:c r="C7" s="57" t="n">
        <x:f>'Base longa'!K214</x:f>
        <x:v>200</x:v>
      </x:c>
      <x:c r="D7" s="57" t="n">
        <x:f>'Base longa'!L214</x:f>
        <x:v>202.8</x:v>
      </x:c>
      <x:c r="E7" s="57" t="n">
        <x:f>'Base longa'!M214</x:f>
        <x:v>208.6</x:v>
      </x:c>
      <x:c r="F7" s="53"/>
      <x:c r="G7" s="56" t="str">
        <x:v>LC</x:v>
      </x:c>
      <x:c r="H7" s="95" t="n">
        <x:f>'Base longa'!G265</x:f>
        <x:v>2</x:v>
      </x:c>
      <x:c r="I7" s="57" t="n">
        <x:f>'Base longa'!K265</x:f>
        <x:v>200</x:v>
      </x:c>
      <x:c r="J7" s="57" t="n">
        <x:f>'Base longa'!L265</x:f>
        <x:v>216.8</x:v>
      </x:c>
      <x:c r="K7" s="57" t="n">
        <x:f>'Base longa'!M265</x:f>
        <x:v>238.4</x:v>
      </x:c>
      <x:c r="L7" s="53"/>
      <x:c r="M7" s="56" t="str">
        <x:v>MT</x:v>
      </x:c>
      <x:c r="N7" s="95" t="n">
        <x:f>'Base longa'!G286</x:f>
        <x:v>2</x:v>
      </x:c>
      <x:c r="O7" s="57" t="n">
        <x:f>'Base longa'!K286</x:f>
        <x:v>208</x:v>
      </x:c>
      <x:c r="P7" s="57" t="n">
        <x:f>'Base longa'!L286</x:f>
        <x:v>262.4</x:v>
      </x:c>
      <x:c r="Q7" s="57" t="n">
        <x:f>'Base longa'!M286</x:f>
        <x:v>316.8</x:v>
      </x:c>
      <x:c r="R7" s="53"/>
      <x:c r="S7" s="56" t="str">
        <x:v>CH</x:v>
      </x:c>
      <x:c r="T7" s="95" t="n">
        <x:f>'Base longa'!G297</x:f>
        <x:v>2</x:v>
      </x:c>
      <x:c r="U7" s="57" t="n">
        <x:f>'Base longa'!K297</x:f>
        <x:v>200</x:v>
      </x:c>
      <x:c r="V7" s="57" t="n">
        <x:f>'Base longa'!L297</x:f>
        <x:v>229.2</x:v>
      </x:c>
      <x:c r="W7" s="57" t="n">
        <x:f>'Base longa'!M297</x:f>
        <x:v>261.3</x:v>
      </x:c>
      <x:c r="X7" s="53"/>
      <x:c r="Y7" s="56" t="str">
        <x:v>CN</x:v>
      </x:c>
      <x:c r="Z7" s="95" t="n">
        <x:f>'Base longa'!G313</x:f>
        <x:v>2</x:v>
      </x:c>
      <x:c r="AA7" s="57" t="n">
        <x:f>'Base longa'!K313</x:f>
        <x:v>295.8</x:v>
      </x:c>
      <x:c r="AB7" s="57" t="n">
        <x:f>'Base longa'!L313</x:f>
        <x:v>411.2</x:v>
      </x:c>
      <x:c r="AC7" s="57" t="n">
        <x:f>'Base longa'!M313</x:f>
        <x:v>526.6</x:v>
      </x:c>
    </x:row>
    <x:row r="8">
      <x:c r="A8" s="66" t="str">
        <x:v>GERAL</x:v>
      </x:c>
      <x:c r="B8" s="96" t="n">
        <x:f>'Base longa'!G215</x:f>
        <x:v>3</x:v>
      </x:c>
      <x:c r="C8" s="69" t="n">
        <x:f>'Base longa'!K215</x:f>
        <x:v>200</x:v>
      </x:c>
      <x:c r="D8" s="69" t="n">
        <x:f>'Base longa'!L215</x:f>
        <x:v>206.2</x:v>
      </x:c>
      <x:c r="E8" s="69" t="n">
        <x:f>'Base longa'!M215</x:f>
        <x:v>214.8</x:v>
      </x:c>
      <x:c r="F8" s="53"/>
      <x:c r="G8" s="66" t="str">
        <x:v>LC</x:v>
      </x:c>
      <x:c r="H8" s="96" t="n">
        <x:f>'Base longa'!G266</x:f>
        <x:v>3</x:v>
      </x:c>
      <x:c r="I8" s="69" t="n">
        <x:f>'Base longa'!K266</x:f>
        <x:v>205.8</x:v>
      </x:c>
      <x:c r="J8" s="69" t="n">
        <x:f>'Base longa'!L266</x:f>
        <x:v>236.5</x:v>
      </x:c>
      <x:c r="K8" s="69" t="n">
        <x:f>'Base longa'!M266</x:f>
        <x:v>267.2</x:v>
      </x:c>
      <x:c r="L8" s="53"/>
      <x:c r="M8" s="66" t="str">
        <x:v>MT</x:v>
      </x:c>
      <x:c r="N8" s="96" t="n">
        <x:f>'Base longa'!G287</x:f>
        <x:v>3</x:v>
      </x:c>
      <x:c r="O8" s="69" t="n">
        <x:f>'Base longa'!K287</x:f>
        <x:v>258.2</x:v>
      </x:c>
      <x:c r="P8" s="69" t="n">
        <x:f>'Base longa'!L287</x:f>
        <x:v>329.6</x:v>
      </x:c>
      <x:c r="Q8" s="69" t="n">
        <x:f>'Base longa'!M287</x:f>
        <x:v>401</x:v>
      </x:c>
      <x:c r="R8" s="53"/>
      <x:c r="S8" s="66" t="str">
        <x:v>CH</x:v>
      </x:c>
      <x:c r="T8" s="96" t="n">
        <x:f>'Base longa'!G298</x:f>
        <x:v>3</x:v>
      </x:c>
      <x:c r="U8" s="69" t="n">
        <x:f>'Base longa'!K298</x:f>
        <x:v>218</x:v>
      </x:c>
      <x:c r="V8" s="69" t="n">
        <x:f>'Base longa'!L298</x:f>
        <x:v>262.4</x:v>
      </x:c>
      <x:c r="W8" s="69" t="n">
        <x:f>'Base longa'!M298</x:f>
        <x:v>306.8</x:v>
      </x:c>
      <x:c r="X8" s="53"/>
      <x:c r="Y8" s="66" t="str">
        <x:v>CN</x:v>
      </x:c>
      <x:c r="Z8" s="96" t="n">
        <x:f>'Base longa'!G314</x:f>
        <x:v>3</x:v>
      </x:c>
      <x:c r="AA8" s="69" t="n">
        <x:f>'Base longa'!K314</x:f>
        <x:v>473.4</x:v>
      </x:c>
      <x:c r="AB8" s="69" t="n">
        <x:f>'Base longa'!L314</x:f>
        <x:v>588.8</x:v>
      </x:c>
      <x:c r="AC8" s="69" t="n">
        <x:f>'Base longa'!M314</x:f>
        <x:v>704.2</x:v>
      </x:c>
    </x:row>
    <x:row r="9">
      <x:c r="A9" s="56" t="str">
        <x:v>GERAL</x:v>
      </x:c>
      <x:c r="B9" s="95" t="n">
        <x:f>'Base longa'!G216</x:f>
        <x:v>4</x:v>
      </x:c>
      <x:c r="C9" s="57" t="n">
        <x:f>'Base longa'!K216</x:f>
        <x:v>200</x:v>
      </x:c>
      <x:c r="D9" s="57" t="n">
        <x:f>'Base longa'!L216</x:f>
        <x:v>210.9</x:v>
      </x:c>
      <x:c r="E9" s="57" t="n">
        <x:f>'Base longa'!M216</x:f>
        <x:v>222.1</x:v>
      </x:c>
      <x:c r="F9" s="53"/>
      <x:c r="G9" s="56" t="str">
        <x:v>LC</x:v>
      </x:c>
      <x:c r="H9" s="95" t="n">
        <x:f>'Base longa'!G267</x:f>
        <x:v>4</x:v>
      </x:c>
      <x:c r="I9" s="57" t="n">
        <x:f>'Base longa'!K267</x:f>
        <x:v>223.9</x:v>
      </x:c>
      <x:c r="J9" s="57" t="n">
        <x:f>'Base longa'!L267</x:f>
        <x:v>262.4</x:v>
      </x:c>
      <x:c r="K9" s="57" t="n">
        <x:f>'Base longa'!M267</x:f>
        <x:v>300.9</x:v>
      </x:c>
      <x:c r="L9" s="53"/>
      <x:c r="M9" s="56" t="str">
        <x:v>MT</x:v>
      </x:c>
      <x:c r="N9" s="95" t="n">
        <x:f>'Base longa'!G288</x:f>
        <x:v>4</x:v>
      </x:c>
      <x:c r="O9" s="57" t="n">
        <x:f>'Base longa'!K288</x:f>
        <x:v>329.6</x:v>
      </x:c>
      <x:c r="P9" s="57" t="n">
        <x:f>'Base longa'!L288</x:f>
        <x:v>411.2</x:v>
      </x:c>
      <x:c r="Q9" s="57" t="n">
        <x:f>'Base longa'!M288</x:f>
        <x:v>492.8</x:v>
      </x:c>
      <x:c r="R9" s="53"/>
      <x:c r="S9" s="56" t="str">
        <x:v>CH</x:v>
      </x:c>
      <x:c r="T9" s="95" t="n">
        <x:f>'Base longa'!G299</x:f>
        <x:v>4</x:v>
      </x:c>
      <x:c r="U9" s="57" t="n">
        <x:f>'Base longa'!K299</x:f>
        <x:v>250.9</x:v>
      </x:c>
      <x:c r="V9" s="57" t="n">
        <x:f>'Base longa'!L299</x:f>
        <x:v>305.2</x:v>
      </x:c>
      <x:c r="W9" s="57" t="n">
        <x:f>'Base longa'!M299</x:f>
        <x:v>359.5</x:v>
      </x:c>
      <x:c r="X9" s="53"/>
      <x:c r="Y9" s="56" t="str">
        <x:v>CN</x:v>
      </x:c>
      <x:c r="Z9" s="95" t="n">
        <x:f>'Base longa'!G315</x:f>
        <x:v>4</x:v>
      </x:c>
      <x:c r="AA9" s="57" t="n">
        <x:f>'Base longa'!K315</x:f>
        <x:v>660.7</x:v>
      </x:c>
      <x:c r="AB9" s="57" t="n">
        <x:f>'Base longa'!L315</x:f>
        <x:v>737.6</x:v>
      </x:c>
      <x:c r="AC9" s="57" t="n">
        <x:f>'Base longa'!M315</x:f>
        <x:v>800</x:v>
      </x:c>
    </x:row>
    <x:row r="10">
      <x:c r="A10" s="66" t="str">
        <x:v>GERAL</x:v>
      </x:c>
      <x:c r="B10" s="96" t="n">
        <x:f>'Base longa'!G217</x:f>
        <x:v>5</x:v>
      </x:c>
      <x:c r="C10" s="69" t="n">
        <x:f>'Base longa'!K217</x:f>
        <x:v>203.1</x:v>
      </x:c>
      <x:c r="D10" s="69" t="n">
        <x:f>'Base longa'!L217</x:f>
        <x:v>216.8</x:v>
      </x:c>
      <x:c r="E10" s="69" t="n">
        <x:f>'Base longa'!M217</x:f>
        <x:v>230.5</x:v>
      </x:c>
      <x:c r="F10" s="53"/>
      <x:c r="G10" s="66" t="str">
        <x:v>LC</x:v>
      </x:c>
      <x:c r="H10" s="96" t="n">
        <x:f>'Base longa'!G268</x:f>
        <x:v>5</x:v>
      </x:c>
      <x:c r="I10" s="69" t="n">
        <x:f>'Base longa'!K268</x:f>
        <x:v>248.7</x:v>
      </x:c>
      <x:c r="J10" s="69" t="n">
        <x:f>'Base longa'!L268</x:f>
        <x:v>293.8</x:v>
      </x:c>
      <x:c r="K10" s="69" t="n">
        <x:f>'Base longa'!M268</x:f>
        <x:v>338.9</x:v>
      </x:c>
      <x:c r="L10" s="53"/>
      <x:c r="M10" s="66" t="str">
        <x:v>MT</x:v>
      </x:c>
      <x:c r="N10" s="96" t="n">
        <x:f>'Base longa'!G289</x:f>
        <x:v>5</x:v>
      </x:c>
      <x:c r="O10" s="69" t="n">
        <x:f>'Base longa'!K289</x:f>
        <x:v>415</x:v>
      </x:c>
      <x:c r="P10" s="69" t="n">
        <x:f>'Base longa'!L289</x:f>
        <x:v>500</x:v>
      </x:c>
      <x:c r="Q10" s="69" t="n">
        <x:f>'Base longa'!M289</x:f>
        <x:v>585</x:v>
      </x:c>
      <x:c r="R10" s="53"/>
      <x:c r="S10" s="66" t="str">
        <x:v>CH</x:v>
      </x:c>
      <x:c r="T10" s="96" t="n">
        <x:f>'Base longa'!G300</x:f>
        <x:v>5</x:v>
      </x:c>
      <x:c r="U10" s="69" t="n">
        <x:f>'Base longa'!K300</x:f>
        <x:v>293.9</x:v>
      </x:c>
      <x:c r="V10" s="69" t="n">
        <x:f>'Base longa'!L300</x:f>
        <x:v>355.6</x:v>
      </x:c>
      <x:c r="W10" s="69" t="n">
        <x:f>'Base longa'!M300</x:f>
        <x:v>417.3</x:v>
      </x:c>
      <x:c r="X10" s="53"/>
      <x:c r="Y10" s="66" t="str">
        <x:v>CN</x:v>
      </x:c>
      <x:c r="Z10" s="96" t="n">
        <x:f>'Base longa'!G316</x:f>
        <x:v>5</x:v>
      </x:c>
      <x:c r="AA10" s="69" t="n">
        <x:f>'Base longa'!K316</x:f>
        <x:v>800</x:v>
      </x:c>
      <x:c r="AB10" s="69" t="n">
        <x:f>'Base longa'!L316</x:f>
        <x:v>800</x:v>
      </x:c>
      <x:c r="AC10" s="69" t="n">
        <x:f>'Base longa'!M316</x:f>
        <x:v>800</x:v>
      </x:c>
    </x:row>
    <x:row r="11">
      <x:c r="A11" s="56" t="str">
        <x:v>GERAL</x:v>
      </x:c>
      <x:c r="B11" s="95" t="n">
        <x:f>'Base longa'!G218</x:f>
        <x:v>6</x:v>
      </x:c>
      <x:c r="C11" s="57" t="n">
        <x:f>'Base longa'!K218</x:f>
        <x:v>207.7</x:v>
      </x:c>
      <x:c r="D11" s="57" t="n">
        <x:f>'Base longa'!L218</x:f>
        <x:v>223.8</x:v>
      </x:c>
      <x:c r="E11" s="57" t="n">
        <x:f>'Base longa'!M218</x:f>
        <x:v>239.9</x:v>
      </x:c>
      <x:c r="F11" s="53"/>
      <x:c r="G11" s="56" t="str">
        <x:v>LC</x:v>
      </x:c>
      <x:c r="H11" s="95" t="n">
        <x:f>'Base longa'!G269</x:f>
        <x:v>6</x:v>
      </x:c>
      <x:c r="I11" s="57" t="n">
        <x:f>'Base longa'!K269</x:f>
        <x:v>279.1</x:v>
      </x:c>
      <x:c r="J11" s="57" t="n">
        <x:f>'Base longa'!L269</x:f>
        <x:v>329.6</x:v>
      </x:c>
      <x:c r="K11" s="57" t="n">
        <x:f>'Base longa'!M269</x:f>
        <x:v>380.1</x:v>
      </x:c>
      <x:c r="L11" s="53"/>
      <x:c r="M11" s="56" t="str">
        <x:v>MT</x:v>
      </x:c>
      <x:c r="N11" s="95" t="n">
        <x:f>'Base longa'!G290</x:f>
        <x:v>6</x:v>
      </x:c>
      <x:c r="O11" s="57" t="n">
        <x:f>'Base longa'!K290</x:f>
        <x:v>507.2</x:v>
      </x:c>
      <x:c r="P11" s="57" t="n">
        <x:f>'Base longa'!L290</x:f>
        <x:v>588.8</x:v>
      </x:c>
      <x:c r="Q11" s="57" t="n">
        <x:f>'Base longa'!M290</x:f>
        <x:v>670.4</x:v>
      </x:c>
      <x:c r="R11" s="53"/>
      <x:c r="S11" s="56" t="str">
        <x:v>CH</x:v>
      </x:c>
      <x:c r="T11" s="95" t="n">
        <x:f>'Base longa'!G301</x:f>
        <x:v>6</x:v>
      </x:c>
      <x:c r="U11" s="57" t="n">
        <x:f>'Base longa'!K301</x:f>
        <x:v>344.6</x:v>
      </x:c>
      <x:c r="V11" s="57" t="n">
        <x:f>'Base longa'!L301</x:f>
        <x:v>411.2</x:v>
      </x:c>
      <x:c r="W11" s="57" t="n">
        <x:f>'Base longa'!M301</x:f>
        <x:v>477.8</x:v>
      </x:c>
      <x:c r="X11" s="53"/>
      <x:c r="Y11" s="56"/>
      <x:c r="Z11" s="95"/>
      <x:c r="AA11" s="57"/>
      <x:c r="AB11" s="57"/>
      <x:c r="AC11" s="57"/>
    </x:row>
    <x:row r="12">
      <x:c r="A12" s="66" t="str">
        <x:v>GERAL</x:v>
      </x:c>
      <x:c r="B12" s="96" t="n">
        <x:f>'Base longa'!G219</x:f>
        <x:v>7</x:v>
      </x:c>
      <x:c r="C12" s="69" t="n">
        <x:f>'Base longa'!K219</x:f>
        <x:v>213.7</x:v>
      </x:c>
      <x:c r="D12" s="69" t="n">
        <x:f>'Base longa'!L219</x:f>
        <x:v>232</x:v>
      </x:c>
      <x:c r="E12" s="69" t="n">
        <x:f>'Base longa'!M219</x:f>
        <x:v>250.3</x:v>
      </x:c>
      <x:c r="F12" s="53"/>
      <x:c r="G12" s="66" t="str">
        <x:v>LC</x:v>
      </x:c>
      <x:c r="H12" s="96" t="n">
        <x:f>'Base longa'!G270</x:f>
        <x:v>7</x:v>
      </x:c>
      <x:c r="I12" s="69" t="n">
        <x:f>'Base longa'!K270</x:f>
        <x:v>314.3</x:v>
      </x:c>
      <x:c r="J12" s="69" t="n">
        <x:f>'Base longa'!L270</x:f>
        <x:v>369</x:v>
      </x:c>
      <x:c r="K12" s="69" t="n">
        <x:f>'Base longa'!M270</x:f>
        <x:v>423.7</x:v>
      </x:c>
      <x:c r="L12" s="53"/>
      <x:c r="M12" s="66" t="str">
        <x:v>MT</x:v>
      </x:c>
      <x:c r="N12" s="96" t="n">
        <x:f>'Base longa'!G291</x:f>
        <x:v>7</x:v>
      </x:c>
      <x:c r="O12" s="69" t="n">
        <x:f>'Base longa'!K291</x:f>
        <x:v>599</x:v>
      </x:c>
      <x:c r="P12" s="69" t="n">
        <x:f>'Base longa'!L291</x:f>
        <x:v>670.4</x:v>
      </x:c>
      <x:c r="Q12" s="69" t="n">
        <x:f>'Base longa'!M291</x:f>
        <x:v>741.8</x:v>
      </x:c>
      <x:c r="R12" s="53"/>
      <x:c r="S12" s="66" t="str">
        <x:v>CH</x:v>
      </x:c>
      <x:c r="T12" s="96" t="n">
        <x:f>'Base longa'!G302</x:f>
        <x:v>7</x:v>
      </x:c>
      <x:c r="U12" s="69" t="n">
        <x:f>'Base longa'!K302</x:f>
        <x:v>400.9</x:v>
      </x:c>
      <x:c r="V12" s="69" t="n">
        <x:f>'Base longa'!L302</x:f>
        <x:v>470</x:v>
      </x:c>
      <x:c r="W12" s="69" t="n">
        <x:f>'Base longa'!M302</x:f>
        <x:v>539.1</x:v>
      </x:c>
      <x:c r="X12" s="53"/>
      <x:c r="Y12" s="66"/>
      <x:c r="Z12" s="96"/>
      <x:c r="AA12" s="69"/>
      <x:c r="AB12" s="69"/>
      <x:c r="AC12" s="69"/>
    </x:row>
    <x:row r="13">
      <x:c r="A13" s="56" t="str">
        <x:v>GERAL</x:v>
      </x:c>
      <x:c r="B13" s="95" t="n">
        <x:f>'Base longa'!G220</x:f>
        <x:v>8</x:v>
      </x:c>
      <x:c r="C13" s="57" t="n">
        <x:f>'Base longa'!K220</x:f>
        <x:v>220.8</x:v>
      </x:c>
      <x:c r="D13" s="57" t="n">
        <x:f>'Base longa'!L220</x:f>
        <x:v>241.2</x:v>
      </x:c>
      <x:c r="E13" s="57" t="n">
        <x:f>'Base longa'!M220</x:f>
        <x:v>261.6</x:v>
      </x:c>
      <x:c r="F13" s="53"/>
      <x:c r="G13" s="56" t="str">
        <x:v>LC</x:v>
      </x:c>
      <x:c r="H13" s="95" t="n">
        <x:f>'Base longa'!G271</x:f>
        <x:v>8</x:v>
      </x:c>
      <x:c r="I13" s="57" t="n">
        <x:f>'Base longa'!K271</x:f>
        <x:v>353.5</x:v>
      </x:c>
      <x:c r="J13" s="57" t="n">
        <x:f>'Base longa'!L271</x:f>
        <x:v>411.2</x:v>
      </x:c>
      <x:c r="K13" s="57" t="n">
        <x:f>'Base longa'!M271</x:f>
        <x:v>468.9</x:v>
      </x:c>
      <x:c r="L13" s="53"/>
      <x:c r="M13" s="56" t="str">
        <x:v>MT</x:v>
      </x:c>
      <x:c r="N13" s="95" t="n">
        <x:f>'Base longa'!G292</x:f>
        <x:v>8</x:v>
      </x:c>
      <x:c r="O13" s="57" t="n">
        <x:f>'Base longa'!K292</x:f>
        <x:v>683.2</x:v>
      </x:c>
      <x:c r="P13" s="57" t="n">
        <x:f>'Base longa'!L292</x:f>
        <x:v>737.6</x:v>
      </x:c>
      <x:c r="Q13" s="57" t="n">
        <x:f>'Base longa'!M292</x:f>
        <x:v>792</x:v>
      </x:c>
      <x:c r="R13" s="53"/>
      <x:c r="S13" s="56" t="str">
        <x:v>CH</x:v>
      </x:c>
      <x:c r="T13" s="95" t="n">
        <x:f>'Base longa'!G303</x:f>
        <x:v>8</x:v>
      </x:c>
      <x:c r="U13" s="57" t="n">
        <x:f>'Base longa'!K303</x:f>
        <x:v>460.9</x:v>
      </x:c>
      <x:c r="V13" s="57" t="n">
        <x:f>'Base longa'!L303</x:f>
        <x:v>530</x:v>
      </x:c>
      <x:c r="W13" s="57" t="n">
        <x:f>'Base longa'!M303</x:f>
        <x:v>599.1</x:v>
      </x:c>
      <x:c r="X13" s="53"/>
      <x:c r="Y13" s="56"/>
      <x:c r="Z13" s="95"/>
      <x:c r="AA13" s="57"/>
      <x:c r="AB13" s="57"/>
      <x:c r="AC13" s="57"/>
    </x:row>
    <x:row r="14">
      <x:c r="A14" s="66" t="str">
        <x:v>GERAL</x:v>
      </x:c>
      <x:c r="B14" s="96" t="n">
        <x:f>'Base longa'!G221</x:f>
        <x:v>9</x:v>
      </x:c>
      <x:c r="C14" s="69" t="n">
        <x:f>'Base longa'!K221</x:f>
        <x:v>228.9</x:v>
      </x:c>
      <x:c r="D14" s="69" t="n">
        <x:f>'Base longa'!L221</x:f>
        <x:v>251.3</x:v>
      </x:c>
      <x:c r="E14" s="69" t="n">
        <x:f>'Base longa'!M221</x:f>
        <x:v>273.7</x:v>
      </x:c>
      <x:c r="F14" s="53"/>
      <x:c r="G14" s="66" t="str">
        <x:v>LC</x:v>
      </x:c>
      <x:c r="H14" s="96" t="n">
        <x:f>'Base longa'!G272</x:f>
        <x:v>9</x:v>
      </x:c>
      <x:c r="I14" s="69" t="n">
        <x:f>'Base longa'!K272</x:f>
        <x:v>395.7</x:v>
      </x:c>
      <x:c r="J14" s="69" t="n">
        <x:f>'Base longa'!L272</x:f>
        <x:v>455.2</x:v>
      </x:c>
      <x:c r="K14" s="69" t="n">
        <x:f>'Base longa'!M272</x:f>
        <x:v>514.7</x:v>
      </x:c>
      <x:c r="L14" s="53"/>
      <x:c r="M14" s="66" t="str">
        <x:v>MT</x:v>
      </x:c>
      <x:c r="N14" s="96" t="n">
        <x:f>'Base longa'!G293</x:f>
        <x:v>9</x:v>
      </x:c>
      <x:c r="O14" s="69" t="n">
        <x:f>'Base longa'!K293</x:f>
        <x:v>752.6</x:v>
      </x:c>
      <x:c r="P14" s="69" t="n">
        <x:f>'Base longa'!L293</x:f>
        <x:v>783.2</x:v>
      </x:c>
      <x:c r="Q14" s="69" t="n">
        <x:f>'Base longa'!M293</x:f>
        <x:v>800</x:v>
      </x:c>
      <x:c r="R14" s="53"/>
      <x:c r="S14" s="66" t="str">
        <x:v>CH</x:v>
      </x:c>
      <x:c r="T14" s="96" t="n">
        <x:f>'Base longa'!G304</x:f>
        <x:v>9</x:v>
      </x:c>
      <x:c r="U14" s="69" t="n">
        <x:f>'Base longa'!K304</x:f>
        <x:v>522.2</x:v>
      </x:c>
      <x:c r="V14" s="69" t="n">
        <x:f>'Base longa'!L304</x:f>
        <x:v>588.8</x:v>
      </x:c>
      <x:c r="W14" s="69" t="n">
        <x:f>'Base longa'!M304</x:f>
        <x:v>655.4</x:v>
      </x:c>
      <x:c r="X14" s="53"/>
      <x:c r="Y14" s="66"/>
      <x:c r="Z14" s="96"/>
      <x:c r="AA14" s="69"/>
      <x:c r="AB14" s="69"/>
      <x:c r="AC14" s="69"/>
    </x:row>
    <x:row r="15">
      <x:c r="A15" s="56" t="str">
        <x:v>GERAL</x:v>
      </x:c>
      <x:c r="B15" s="95" t="n">
        <x:f>'Base longa'!G222</x:f>
        <x:v>10</x:v>
      </x:c>
      <x:c r="C15" s="57" t="n">
        <x:f>'Base longa'!K222</x:f>
        <x:v>238.1</x:v>
      </x:c>
      <x:c r="D15" s="57" t="n">
        <x:f>'Base longa'!L222</x:f>
        <x:v>262.4</x:v>
      </x:c>
      <x:c r="E15" s="57" t="n">
        <x:f>'Base longa'!M222</x:f>
        <x:v>286.7</x:v>
      </x:c>
      <x:c r="F15" s="53"/>
      <x:c r="G15" s="56" t="str">
        <x:v>LC</x:v>
      </x:c>
      <x:c r="H15" s="95" t="n">
        <x:f>'Base longa'!G273</x:f>
        <x:v>10</x:v>
      </x:c>
      <x:c r="I15" s="57" t="n">
        <x:f>'Base longa'!K273</x:f>
        <x:v>439.9</x:v>
      </x:c>
      <x:c r="J15" s="57" t="n">
        <x:f>'Base longa'!L273</x:f>
        <x:v>500</x:v>
      </x:c>
      <x:c r="K15" s="57" t="n">
        <x:f>'Base longa'!M273</x:f>
        <x:v>560.1</x:v>
      </x:c>
      <x:c r="L15" s="53"/>
      <x:c r="M15" s="56" t="str">
        <x:v>MT</x:v>
      </x:c>
      <x:c r="N15" s="95" t="n">
        <x:f>'Base longa'!G294</x:f>
        <x:v>10</x:v>
      </x:c>
      <x:c r="O15" s="57" t="n">
        <x:f>'Base longa'!K294</x:f>
        <x:v>800</x:v>
      </x:c>
      <x:c r="P15" s="57" t="n">
        <x:f>'Base longa'!L294</x:f>
        <x:v>800</x:v>
      </x:c>
      <x:c r="Q15" s="57" t="n">
        <x:f>'Base longa'!M294</x:f>
        <x:v>800</x:v>
      </x:c>
      <x:c r="R15" s="53"/>
      <x:c r="S15" s="56" t="str">
        <x:v>CH</x:v>
      </x:c>
      <x:c r="T15" s="95" t="n">
        <x:f>'Base longa'!G305</x:f>
        <x:v>10</x:v>
      </x:c>
      <x:c r="U15" s="57" t="n">
        <x:f>'Base longa'!K305</x:f>
        <x:v>582.7</x:v>
      </x:c>
      <x:c r="V15" s="57" t="n">
        <x:f>'Base longa'!L305</x:f>
        <x:v>644.4</x:v>
      </x:c>
      <x:c r="W15" s="57" t="n">
        <x:f>'Base longa'!M305</x:f>
        <x:v>706.1</x:v>
      </x:c>
      <x:c r="X15" s="53"/>
      <x:c r="Y15" s="56"/>
      <x:c r="Z15" s="95"/>
      <x:c r="AA15" s="57"/>
      <x:c r="AB15" s="57"/>
      <x:c r="AC15" s="57"/>
    </x:row>
    <x:row r="16">
      <x:c r="A16" s="66" t="str">
        <x:v>GERAL</x:v>
      </x:c>
      <x:c r="B16" s="96" t="n">
        <x:f>'Base longa'!G223</x:f>
        <x:v>11</x:v>
      </x:c>
      <x:c r="C16" s="69" t="n">
        <x:f>'Base longa'!K223</x:f>
        <x:v>248.2</x:v>
      </x:c>
      <x:c r="D16" s="69" t="n">
        <x:f>'Base longa'!L223</x:f>
        <x:v>274.3</x:v>
      </x:c>
      <x:c r="E16" s="69" t="n">
        <x:f>'Base longa'!M223</x:f>
        <x:v>300.4</x:v>
      </x:c>
      <x:c r="F16" s="53"/>
      <x:c r="G16" s="66" t="str">
        <x:v>LC</x:v>
      </x:c>
      <x:c r="H16" s="96" t="n">
        <x:f>'Base longa'!G274</x:f>
        <x:v>11</x:v>
      </x:c>
      <x:c r="I16" s="69" t="n">
        <x:f>'Base longa'!K274</x:f>
        <x:v>485.4</x:v>
      </x:c>
      <x:c r="J16" s="69" t="n">
        <x:f>'Base longa'!L274</x:f>
        <x:v>544.9</x:v>
      </x:c>
      <x:c r="K16" s="69" t="n">
        <x:f>'Base longa'!M274</x:f>
        <x:v>604.4</x:v>
      </x:c>
      <x:c r="L16" s="53"/>
      <x:c r="M16" s="66"/>
      <x:c r="N16" s="96"/>
      <x:c r="O16" s="69"/>
      <x:c r="P16" s="69"/>
      <x:c r="Q16" s="69"/>
      <x:c r="R16" s="53"/>
      <x:c r="S16" s="66" t="str">
        <x:v>CH</x:v>
      </x:c>
      <x:c r="T16" s="96" t="n">
        <x:f>'Base longa'!G306</x:f>
        <x:v>11</x:v>
      </x:c>
      <x:c r="U16" s="69" t="n">
        <x:f>'Base longa'!K306</x:f>
        <x:v>640.5</x:v>
      </x:c>
      <x:c r="V16" s="69" t="n">
        <x:f>'Base longa'!L306</x:f>
        <x:v>694.8</x:v>
      </x:c>
      <x:c r="W16" s="69" t="n">
        <x:f>'Base longa'!M306</x:f>
        <x:v>749.1</x:v>
      </x:c>
      <x:c r="X16" s="53"/>
      <x:c r="Y16" s="66"/>
      <x:c r="Z16" s="96"/>
      <x:c r="AA16" s="69"/>
      <x:c r="AB16" s="69"/>
      <x:c r="AC16" s="69"/>
    </x:row>
    <x:row r="17">
      <x:c r="A17" s="56" t="str">
        <x:v>GERAL</x:v>
      </x:c>
      <x:c r="B17" s="95" t="n">
        <x:f>'Base longa'!G224</x:f>
        <x:v>12</x:v>
      </x:c>
      <x:c r="C17" s="57" t="n">
        <x:f>'Base longa'!K224</x:f>
        <x:v>259.4</x:v>
      </x:c>
      <x:c r="D17" s="57" t="n">
        <x:f>'Base longa'!L224</x:f>
        <x:v>287.1</x:v>
      </x:c>
      <x:c r="E17" s="57" t="n">
        <x:f>'Base longa'!M224</x:f>
        <x:v>314.8</x:v>
      </x:c>
      <x:c r="F17" s="53"/>
      <x:c r="G17" s="56" t="str">
        <x:v>LC</x:v>
      </x:c>
      <x:c r="H17" s="95" t="n">
        <x:f>'Base longa'!G275</x:f>
        <x:v>12</x:v>
      </x:c>
      <x:c r="I17" s="57" t="n">
        <x:f>'Base longa'!K275</x:f>
        <x:v>531.1</x:v>
      </x:c>
      <x:c r="J17" s="57" t="n">
        <x:f>'Base longa'!L275</x:f>
        <x:v>588.8</x:v>
      </x:c>
      <x:c r="K17" s="57" t="n">
        <x:f>'Base longa'!M275</x:f>
        <x:v>646.5</x:v>
      </x:c>
      <x:c r="L17" s="53"/>
      <x:c r="M17" s="56"/>
      <x:c r="N17" s="95"/>
      <x:c r="O17" s="57"/>
      <x:c r="P17" s="57"/>
      <x:c r="Q17" s="57"/>
      <x:c r="R17" s="53"/>
      <x:c r="S17" s="56" t="str">
        <x:v>CH</x:v>
      </x:c>
      <x:c r="T17" s="95" t="n">
        <x:f>'Base longa'!G307</x:f>
        <x:v>12</x:v>
      </x:c>
      <x:c r="U17" s="57" t="n">
        <x:f>'Base longa'!K307</x:f>
        <x:v>693.2</x:v>
      </x:c>
      <x:c r="V17" s="57" t="n">
        <x:f>'Base longa'!L307</x:f>
        <x:v>737.6</x:v>
      </x:c>
      <x:c r="W17" s="57" t="n">
        <x:f>'Base longa'!M307</x:f>
        <x:v>782</x:v>
      </x:c>
      <x:c r="X17" s="53"/>
      <x:c r="Y17" s="56"/>
      <x:c r="Z17" s="95"/>
      <x:c r="AA17" s="57"/>
      <x:c r="AB17" s="57"/>
      <x:c r="AC17" s="57"/>
    </x:row>
    <x:row r="18">
      <x:c r="A18" s="66" t="str">
        <x:v>GERAL</x:v>
      </x:c>
      <x:c r="B18" s="96" t="n">
        <x:f>'Base longa'!G225</x:f>
        <x:v>13</x:v>
      </x:c>
      <x:c r="C18" s="69" t="n">
        <x:f>'Base longa'!K225</x:f>
        <x:v>271.3</x:v>
      </x:c>
      <x:c r="D18" s="69" t="n">
        <x:f>'Base longa'!L225</x:f>
        <x:v>300.6</x:v>
      </x:c>
      <x:c r="E18" s="69" t="n">
        <x:f>'Base longa'!M225</x:f>
        <x:v>329.9</x:v>
      </x:c>
      <x:c r="F18" s="53"/>
      <x:c r="G18" s="66" t="str">
        <x:v>LC</x:v>
      </x:c>
      <x:c r="H18" s="96" t="n">
        <x:f>'Base longa'!G276</x:f>
        <x:v>13</x:v>
      </x:c>
      <x:c r="I18" s="69" t="n">
        <x:f>'Base longa'!K276</x:f>
        <x:v>576.3</x:v>
      </x:c>
      <x:c r="J18" s="69" t="n">
        <x:f>'Base longa'!L276</x:f>
        <x:v>631</x:v>
      </x:c>
      <x:c r="K18" s="69" t="n">
        <x:f>'Base longa'!M276</x:f>
        <x:v>685.7</x:v>
      </x:c>
      <x:c r="L18" s="53"/>
      <x:c r="M18" s="66"/>
      <x:c r="N18" s="96"/>
      <x:c r="O18" s="69"/>
      <x:c r="P18" s="69"/>
      <x:c r="Q18" s="69"/>
      <x:c r="R18" s="53"/>
      <x:c r="S18" s="66" t="str">
        <x:v>CH</x:v>
      </x:c>
      <x:c r="T18" s="96" t="n">
        <x:f>'Base longa'!G308</x:f>
        <x:v>13</x:v>
      </x:c>
      <x:c r="U18" s="69" t="n">
        <x:f>'Base longa'!K308</x:f>
        <x:v>738.7</x:v>
      </x:c>
      <x:c r="V18" s="69" t="n">
        <x:f>'Base longa'!L308</x:f>
        <x:v>770.8</x:v>
      </x:c>
      <x:c r="W18" s="69" t="n">
        <x:f>'Base longa'!M308</x:f>
        <x:v>800</x:v>
      </x:c>
      <x:c r="X18" s="53"/>
      <x:c r="Y18" s="66"/>
      <x:c r="Z18" s="96"/>
      <x:c r="AA18" s="69"/>
      <x:c r="AB18" s="69"/>
      <x:c r="AC18" s="69"/>
    </x:row>
    <x:row r="19">
      <x:c r="A19" s="56" t="str">
        <x:v>GERAL</x:v>
      </x:c>
      <x:c r="B19" s="95" t="n">
        <x:f>'Base longa'!G226</x:f>
        <x:v>14</x:v>
      </x:c>
      <x:c r="C19" s="57" t="n">
        <x:f>'Base longa'!K226</x:f>
        <x:v>284.1</x:v>
      </x:c>
      <x:c r="D19" s="57" t="n">
        <x:f>'Base longa'!L226</x:f>
        <x:v>314.8</x:v>
      </x:c>
      <x:c r="E19" s="57" t="n">
        <x:f>'Base longa'!M226</x:f>
        <x:v>345.5</x:v>
      </x:c>
      <x:c r="F19" s="53"/>
      <x:c r="G19" s="56" t="str">
        <x:v>LC</x:v>
      </x:c>
      <x:c r="H19" s="95" t="n">
        <x:f>'Base longa'!G277</x:f>
        <x:v>14</x:v>
      </x:c>
      <x:c r="I19" s="57" t="n">
        <x:f>'Base longa'!K277</x:f>
        <x:v>619.9</x:v>
      </x:c>
      <x:c r="J19" s="57" t="n">
        <x:f>'Base longa'!L277</x:f>
        <x:v>670.4</x:v>
      </x:c>
      <x:c r="K19" s="57" t="n">
        <x:f>'Base longa'!M277</x:f>
        <x:v>720.9</x:v>
      </x:c>
      <x:c r="L19" s="53"/>
      <x:c r="M19" s="56"/>
      <x:c r="N19" s="95"/>
      <x:c r="O19" s="57"/>
      <x:c r="P19" s="57"/>
      <x:c r="Q19" s="57"/>
      <x:c r="R19" s="53"/>
      <x:c r="S19" s="56" t="str">
        <x:v>CH</x:v>
      </x:c>
      <x:c r="T19" s="95" t="n">
        <x:f>'Base longa'!G309</x:f>
        <x:v>14</x:v>
      </x:c>
      <x:c r="U19" s="57" t="n">
        <x:f>'Base longa'!K309</x:f>
        <x:v>775.1</x:v>
      </x:c>
      <x:c r="V19" s="57" t="n">
        <x:f>'Base longa'!L309</x:f>
        <x:v>792.4</x:v>
      </x:c>
      <x:c r="W19" s="57" t="n">
        <x:f>'Base longa'!M309</x:f>
        <x:v>800</x:v>
      </x:c>
      <x:c r="X19" s="53"/>
      <x:c r="Y19" s="56"/>
      <x:c r="Z19" s="95"/>
      <x:c r="AA19" s="57"/>
      <x:c r="AB19" s="57"/>
      <x:c r="AC19" s="57"/>
    </x:row>
    <x:row r="20">
      <x:c r="A20" s="66" t="str">
        <x:v>GERAL</x:v>
      </x:c>
      <x:c r="B20" s="96" t="n">
        <x:f>'Base longa'!G227</x:f>
        <x:v>15</x:v>
      </x:c>
      <x:c r="C20" s="69" t="n">
        <x:f>'Base longa'!K227</x:f>
        <x:v>297.7</x:v>
      </x:c>
      <x:c r="D20" s="69" t="n">
        <x:f>'Base longa'!L227</x:f>
        <x:v>329.6</x:v>
      </x:c>
      <x:c r="E20" s="69" t="n">
        <x:f>'Base longa'!M227</x:f>
        <x:v>361.5</x:v>
      </x:c>
      <x:c r="F20" s="53"/>
      <x:c r="G20" s="66" t="str">
        <x:v>LC</x:v>
      </x:c>
      <x:c r="H20" s="96" t="n">
        <x:f>'Base longa'!G278</x:f>
        <x:v>15</x:v>
      </x:c>
      <x:c r="I20" s="69" t="n">
        <x:f>'Base longa'!K278</x:f>
        <x:v>661.2</x:v>
      </x:c>
      <x:c r="J20" s="69" t="n">
        <x:f>'Base longa'!L278</x:f>
        <x:v>706.3</x:v>
      </x:c>
      <x:c r="K20" s="69" t="n">
        <x:f>'Base longa'!M278</x:f>
        <x:v>751.4</x:v>
      </x:c>
      <x:c r="L20" s="53"/>
      <x:c r="M20" s="66"/>
      <x:c r="N20" s="96"/>
      <x:c r="O20" s="69"/>
      <x:c r="P20" s="69"/>
      <x:c r="Q20" s="69"/>
      <x:c r="R20" s="53"/>
      <x:c r="S20" s="66" t="str">
        <x:v>CH</x:v>
      </x:c>
      <x:c r="T20" s="96" t="n">
        <x:f>'Base longa'!G310</x:f>
        <x:v>15</x:v>
      </x:c>
      <x:c r="U20" s="69" t="n">
        <x:f>'Base longa'!K310</x:f>
        <x:v>800</x:v>
      </x:c>
      <x:c r="V20" s="69" t="n">
        <x:f>'Base longa'!L310</x:f>
        <x:v>800</x:v>
      </x:c>
      <x:c r="W20" s="69" t="n">
        <x:f>'Base longa'!M310</x:f>
        <x:v>800</x:v>
      </x:c>
      <x:c r="X20" s="53"/>
      <x:c r="Y20" s="66"/>
      <x:c r="Z20" s="96"/>
      <x:c r="AA20" s="69"/>
      <x:c r="AB20" s="69"/>
      <x:c r="AC20" s="69"/>
    </x:row>
    <x:row r="21">
      <x:c r="A21" s="56" t="str">
        <x:v>GERAL</x:v>
      </x:c>
      <x:c r="B21" s="95" t="n">
        <x:f>'Base longa'!G228</x:f>
        <x:v>16</x:v>
      </x:c>
      <x:c r="C21" s="57" t="n">
        <x:f>'Base longa'!K228</x:f>
        <x:v>311.9</x:v>
      </x:c>
      <x:c r="D21" s="57" t="n">
        <x:f>'Base longa'!L228</x:f>
        <x:v>345</x:v>
      </x:c>
      <x:c r="E21" s="57" t="n">
        <x:f>'Base longa'!M228</x:f>
        <x:v>378.1</x:v>
      </x:c>
      <x:c r="F21" s="53"/>
      <x:c r="G21" s="56" t="str">
        <x:v>LC</x:v>
      </x:c>
      <x:c r="H21" s="95" t="n">
        <x:f>'Base longa'!G279</x:f>
        <x:v>16</x:v>
      </x:c>
      <x:c r="I21" s="57" t="n">
        <x:f>'Base longa'!K279</x:f>
        <x:v>699.1</x:v>
      </x:c>
      <x:c r="J21" s="57" t="n">
        <x:f>'Base longa'!L279</x:f>
        <x:v>737.6</x:v>
      </x:c>
      <x:c r="K21" s="57" t="n">
        <x:f>'Base longa'!M279</x:f>
        <x:v>776.1</x:v>
      </x:c>
      <x:c r="L21" s="53"/>
      <x:c r="M21" s="56"/>
      <x:c r="N21" s="95"/>
      <x:c r="O21" s="57"/>
      <x:c r="P21" s="57"/>
      <x:c r="Q21" s="57"/>
      <x:c r="R21" s="53"/>
      <x:c r="S21" s="56"/>
      <x:c r="T21" s="95"/>
      <x:c r="U21" s="57"/>
      <x:c r="V21" s="57"/>
      <x:c r="W21" s="57"/>
      <x:c r="X21" s="53"/>
      <x:c r="Y21" s="56"/>
      <x:c r="Z21" s="95"/>
      <x:c r="AA21" s="57"/>
      <x:c r="AB21" s="57"/>
      <x:c r="AC21" s="57"/>
    </x:row>
    <x:row r="22">
      <x:c r="A22" s="66" t="str">
        <x:v>GERAL</x:v>
      </x:c>
      <x:c r="B22" s="96" t="n">
        <x:f>'Base longa'!G229</x:f>
        <x:v>17</x:v>
      </x:c>
      <x:c r="C22" s="69" t="n">
        <x:f>'Base longa'!K229</x:f>
        <x:v>326.8</x:v>
      </x:c>
      <x:c r="D22" s="69" t="n">
        <x:f>'Base longa'!L229</x:f>
        <x:v>360.9</x:v>
      </x:c>
      <x:c r="E22" s="69" t="n">
        <x:f>'Base longa'!M229</x:f>
        <x:v>395</x:v>
      </x:c>
      <x:c r="F22" s="53"/>
      <x:c r="G22" s="66" t="str">
        <x:v>LC</x:v>
      </x:c>
      <x:c r="H22" s="96" t="n">
        <x:f>'Base longa'!G280</x:f>
        <x:v>17</x:v>
      </x:c>
      <x:c r="I22" s="69" t="n">
        <x:f>'Base longa'!K280</x:f>
        <x:v>732.8</x:v>
      </x:c>
      <x:c r="J22" s="69" t="n">
        <x:f>'Base longa'!L280</x:f>
        <x:v>763.5</x:v>
      </x:c>
      <x:c r="K22" s="69" t="n">
        <x:f>'Base longa'!M280</x:f>
        <x:v>794.2</x:v>
      </x:c>
      <x:c r="L22" s="53"/>
      <x:c r="M22" s="66"/>
      <x:c r="N22" s="96"/>
      <x:c r="O22" s="69"/>
      <x:c r="P22" s="69"/>
      <x:c r="Q22" s="69"/>
      <x:c r="R22" s="53"/>
      <x:c r="S22" s="66"/>
      <x:c r="T22" s="96"/>
      <x:c r="U22" s="69"/>
      <x:c r="V22" s="69"/>
      <x:c r="W22" s="69"/>
      <x:c r="X22" s="53"/>
      <x:c r="Y22" s="66"/>
      <x:c r="Z22" s="96"/>
      <x:c r="AA22" s="69"/>
      <x:c r="AB22" s="69"/>
      <x:c r="AC22" s="69"/>
    </x:row>
    <x:row r="23">
      <x:c r="A23" s="56" t="str">
        <x:v>GERAL</x:v>
      </x:c>
      <x:c r="B23" s="95" t="n">
        <x:f>'Base longa'!G230</x:f>
        <x:v>18</x:v>
      </x:c>
      <x:c r="C23" s="57" t="n">
        <x:f>'Base longa'!K230</x:f>
        <x:v>342.3</x:v>
      </x:c>
      <x:c r="D23" s="57" t="n">
        <x:f>'Base longa'!L230</x:f>
        <x:v>377.3</x:v>
      </x:c>
      <x:c r="E23" s="57" t="n">
        <x:f>'Base longa'!M230</x:f>
        <x:v>412.3</x:v>
      </x:c>
      <x:c r="F23" s="53"/>
      <x:c r="G23" s="56" t="str">
        <x:v>LC</x:v>
      </x:c>
      <x:c r="H23" s="95" t="n">
        <x:f>'Base longa'!G281</x:f>
        <x:v>18</x:v>
      </x:c>
      <x:c r="I23" s="57" t="n">
        <x:f>'Base longa'!K281</x:f>
        <x:v>761.6</x:v>
      </x:c>
      <x:c r="J23" s="57" t="n">
        <x:f>'Base longa'!L281</x:f>
        <x:v>783.2</x:v>
      </x:c>
      <x:c r="K23" s="57" t="n">
        <x:f>'Base longa'!M281</x:f>
        <x:v>800</x:v>
      </x:c>
      <x:c r="L23" s="53"/>
      <x:c r="M23" s="56"/>
      <x:c r="N23" s="95"/>
      <x:c r="O23" s="57"/>
      <x:c r="P23" s="57"/>
      <x:c r="Q23" s="57"/>
      <x:c r="R23" s="53"/>
      <x:c r="S23" s="56"/>
      <x:c r="T23" s="95"/>
      <x:c r="U23" s="57"/>
      <x:c r="V23" s="57"/>
      <x:c r="W23" s="57"/>
      <x:c r="X23" s="53"/>
      <x:c r="Y23" s="56"/>
      <x:c r="Z23" s="95"/>
      <x:c r="AA23" s="57"/>
      <x:c r="AB23" s="57"/>
      <x:c r="AC23" s="57"/>
    </x:row>
    <x:row r="24">
      <x:c r="A24" s="66" t="str">
        <x:v>GERAL</x:v>
      </x:c>
      <x:c r="B24" s="96" t="n">
        <x:f>'Base longa'!G231</x:f>
        <x:v>19</x:v>
      </x:c>
      <x:c r="C24" s="69" t="n">
        <x:f>'Base longa'!K231</x:f>
        <x:v>358.3</x:v>
      </x:c>
      <x:c r="D24" s="69" t="n">
        <x:f>'Base longa'!L231</x:f>
        <x:v>394.1</x:v>
      </x:c>
      <x:c r="E24" s="69" t="n">
        <x:f>'Base longa'!M231</x:f>
        <x:v>429.9</x:v>
      </x:c>
      <x:c r="F24" s="53"/>
      <x:c r="G24" s="66" t="str">
        <x:v>LC</x:v>
      </x:c>
      <x:c r="H24" s="96" t="n">
        <x:f>'Base longa'!G282</x:f>
        <x:v>19</x:v>
      </x:c>
      <x:c r="I24" s="69" t="n">
        <x:f>'Base longa'!K282</x:f>
        <x:v>784.3</x:v>
      </x:c>
      <x:c r="J24" s="69" t="n">
        <x:f>'Base longa'!L282</x:f>
        <x:v>795.7</x:v>
      </x:c>
      <x:c r="K24" s="69" t="n">
        <x:f>'Base longa'!M282</x:f>
        <x:v>800</x:v>
      </x:c>
      <x:c r="L24" s="53"/>
      <x:c r="M24" s="66"/>
      <x:c r="N24" s="96"/>
      <x:c r="O24" s="69"/>
      <x:c r="P24" s="69"/>
      <x:c r="Q24" s="69"/>
      <x:c r="R24" s="53"/>
      <x:c r="S24" s="66"/>
      <x:c r="T24" s="96"/>
      <x:c r="U24" s="69"/>
      <x:c r="V24" s="69"/>
      <x:c r="W24" s="69"/>
      <x:c r="X24" s="53"/>
      <x:c r="Y24" s="66"/>
      <x:c r="Z24" s="96"/>
      <x:c r="AA24" s="69"/>
      <x:c r="AB24" s="69"/>
      <x:c r="AC24" s="69"/>
    </x:row>
    <x:row r="25">
      <x:c r="A25" s="56" t="str">
        <x:v>GERAL</x:v>
      </x:c>
      <x:c r="B25" s="95" t="n">
        <x:f>'Base longa'!G232</x:f>
        <x:v>20</x:v>
      </x:c>
      <x:c r="C25" s="57" t="n">
        <x:f>'Base longa'!K232</x:f>
        <x:v>374.7</x:v>
      </x:c>
      <x:c r="D25" s="57" t="n">
        <x:f>'Base longa'!L232</x:f>
        <x:v>411.2</x:v>
      </x:c>
      <x:c r="E25" s="57" t="n">
        <x:f>'Base longa'!M232</x:f>
        <x:v>447.7</x:v>
      </x:c>
      <x:c r="F25" s="53"/>
      <x:c r="G25" s="56" t="str">
        <x:v>LC</x:v>
      </x:c>
      <x:c r="H25" s="95" t="n">
        <x:f>'Base longa'!G283</x:f>
        <x:v>20</x:v>
      </x:c>
      <x:c r="I25" s="57" t="n">
        <x:f>'Base longa'!K283</x:f>
        <x:v>800</x:v>
      </x:c>
      <x:c r="J25" s="57" t="n">
        <x:f>'Base longa'!L283</x:f>
        <x:v>800</x:v>
      </x:c>
      <x:c r="K25" s="57" t="n">
        <x:f>'Base longa'!M283</x:f>
        <x:v>800</x:v>
      </x:c>
      <x:c r="L25" s="53"/>
      <x:c r="M25" s="56"/>
      <x:c r="N25" s="95"/>
      <x:c r="O25" s="57"/>
      <x:c r="P25" s="57"/>
      <x:c r="Q25" s="57"/>
      <x:c r="R25" s="53"/>
      <x:c r="S25" s="56"/>
      <x:c r="T25" s="95"/>
      <x:c r="U25" s="57"/>
      <x:c r="V25" s="57"/>
      <x:c r="W25" s="57"/>
      <x:c r="X25" s="53"/>
      <x:c r="Y25" s="56"/>
      <x:c r="Z25" s="95"/>
      <x:c r="AA25" s="57"/>
      <x:c r="AB25" s="57"/>
      <x:c r="AC25" s="57"/>
    </x:row>
    <x:row r="26">
      <x:c r="A26" s="66" t="str">
        <x:v>GERAL</x:v>
      </x:c>
      <x:c r="B26" s="96" t="n">
        <x:f>'Base longa'!G233</x:f>
        <x:v>21</x:v>
      </x:c>
      <x:c r="C26" s="69" t="n">
        <x:f>'Base longa'!K233</x:f>
        <x:v>391.6</x:v>
      </x:c>
      <x:c r="D26" s="69" t="n">
        <x:f>'Base longa'!L233</x:f>
        <x:v>428.6</x:v>
      </x:c>
      <x:c r="E26" s="69" t="n">
        <x:f>'Base longa'!M233</x:f>
        <x:v>465.6</x:v>
      </x:c>
      <x:c r="F26" s="53"/>
      <x:c r="G26" s="66"/>
      <x:c r="H26" s="96"/>
      <x:c r="I26" s="69"/>
      <x:c r="J26" s="69"/>
      <x:c r="K26" s="69"/>
      <x:c r="L26" s="53"/>
      <x:c r="M26" s="66"/>
      <x:c r="N26" s="96"/>
      <x:c r="O26" s="69"/>
      <x:c r="P26" s="69"/>
      <x:c r="Q26" s="69"/>
      <x:c r="R26" s="53"/>
      <x:c r="S26" s="66"/>
      <x:c r="T26" s="96"/>
      <x:c r="U26" s="69"/>
      <x:c r="V26" s="69"/>
      <x:c r="W26" s="69"/>
      <x:c r="X26" s="53"/>
      <x:c r="Y26" s="66"/>
      <x:c r="Z26" s="96"/>
      <x:c r="AA26" s="69"/>
      <x:c r="AB26" s="69"/>
      <x:c r="AC26" s="69"/>
    </x:row>
    <x:row r="27">
      <x:c r="A27" s="56" t="str">
        <x:v>GERAL</x:v>
      </x:c>
      <x:c r="B27" s="95" t="n">
        <x:f>'Base longa'!G234</x:f>
        <x:v>22</x:v>
      </x:c>
      <x:c r="C27" s="57" t="n">
        <x:f>'Base longa'!K234</x:f>
        <x:v>408.8</x:v>
      </x:c>
      <x:c r="D27" s="57" t="n">
        <x:f>'Base longa'!L234</x:f>
        <x:v>446.3</x:v>
      </x:c>
      <x:c r="E27" s="57" t="n">
        <x:f>'Base longa'!M234</x:f>
        <x:v>483.8</x:v>
      </x:c>
      <x:c r="F27" s="53"/>
      <x:c r="G27" s="56"/>
      <x:c r="H27" s="95"/>
      <x:c r="I27" s="57"/>
      <x:c r="J27" s="57"/>
      <x:c r="K27" s="57"/>
      <x:c r="L27" s="53"/>
      <x:c r="M27" s="56"/>
      <x:c r="N27" s="95"/>
      <x:c r="O27" s="57"/>
      <x:c r="P27" s="57"/>
      <x:c r="Q27" s="57"/>
      <x:c r="R27" s="53"/>
      <x:c r="S27" s="56"/>
      <x:c r="T27" s="95"/>
      <x:c r="U27" s="57"/>
      <x:c r="V27" s="57"/>
      <x:c r="W27" s="57"/>
      <x:c r="X27" s="53"/>
      <x:c r="Y27" s="56"/>
      <x:c r="Z27" s="95"/>
      <x:c r="AA27" s="57"/>
      <x:c r="AB27" s="57"/>
      <x:c r="AC27" s="57"/>
    </x:row>
    <x:row r="28">
      <x:c r="A28" s="66" t="str">
        <x:v>GERAL</x:v>
      </x:c>
      <x:c r="B28" s="96" t="n">
        <x:f>'Base longa'!G235</x:f>
        <x:v>23</x:v>
      </x:c>
      <x:c r="C28" s="69" t="n">
        <x:f>'Base longa'!K235</x:f>
        <x:v>426.3</x:v>
      </x:c>
      <x:c r="D28" s="69" t="n">
        <x:f>'Base longa'!L235</x:f>
        <x:v>464.1</x:v>
      </x:c>
      <x:c r="E28" s="69" t="n">
        <x:f>'Base longa'!M235</x:f>
        <x:v>501.9</x:v>
      </x:c>
      <x:c r="F28" s="53"/>
      <x:c r="G28" s="66"/>
      <x:c r="H28" s="96"/>
      <x:c r="I28" s="69"/>
      <x:c r="J28" s="69"/>
      <x:c r="K28" s="69"/>
      <x:c r="L28" s="53"/>
      <x:c r="M28" s="66"/>
      <x:c r="N28" s="96"/>
      <x:c r="O28" s="69"/>
      <x:c r="P28" s="69"/>
      <x:c r="Q28" s="69"/>
      <x:c r="R28" s="53"/>
      <x:c r="S28" s="66"/>
      <x:c r="T28" s="96"/>
      <x:c r="U28" s="69"/>
      <x:c r="V28" s="69"/>
      <x:c r="W28" s="69"/>
      <x:c r="X28" s="53"/>
      <x:c r="Y28" s="66"/>
      <x:c r="Z28" s="96"/>
      <x:c r="AA28" s="69"/>
      <x:c r="AB28" s="69"/>
      <x:c r="AC28" s="69"/>
    </x:row>
    <x:row r="29">
      <x:c r="A29" s="56" t="str">
        <x:v>GERAL</x:v>
      </x:c>
      <x:c r="B29" s="95" t="n">
        <x:f>'Base longa'!G236</x:f>
        <x:v>24</x:v>
      </x:c>
      <x:c r="C29" s="57" t="n">
        <x:f>'Base longa'!K236</x:f>
        <x:v>444</x:v>
      </x:c>
      <x:c r="D29" s="57" t="n">
        <x:f>'Base longa'!L236</x:f>
        <x:v>482</x:v>
      </x:c>
      <x:c r="E29" s="57" t="n">
        <x:f>'Base longa'!M236</x:f>
        <x:v>520</x:v>
      </x:c>
      <x:c r="F29" s="53"/>
      <x:c r="G29" s="56"/>
      <x:c r="H29" s="95"/>
      <x:c r="I29" s="57"/>
      <x:c r="J29" s="57"/>
      <x:c r="K29" s="57"/>
      <x:c r="L29" s="53"/>
      <x:c r="M29" s="56"/>
      <x:c r="N29" s="95"/>
      <x:c r="O29" s="57"/>
      <x:c r="P29" s="57"/>
      <x:c r="Q29" s="57"/>
      <x:c r="R29" s="53"/>
      <x:c r="S29" s="56"/>
      <x:c r="T29" s="95"/>
      <x:c r="U29" s="57"/>
      <x:c r="V29" s="57"/>
      <x:c r="W29" s="57"/>
      <x:c r="X29" s="53"/>
      <x:c r="Y29" s="56"/>
      <x:c r="Z29" s="95"/>
      <x:c r="AA29" s="57"/>
      <x:c r="AB29" s="57"/>
      <x:c r="AC29" s="57"/>
    </x:row>
    <x:row r="30">
      <x:c r="A30" s="66" t="str">
        <x:v>GERAL</x:v>
      </x:c>
      <x:c r="B30" s="96" t="n">
        <x:f>'Base longa'!G237</x:f>
        <x:v>25</x:v>
      </x:c>
      <x:c r="C30" s="69" t="n">
        <x:f>'Base longa'!K237</x:f>
        <x:v>462</x:v>
      </x:c>
      <x:c r="D30" s="69" t="n">
        <x:f>'Base longa'!L237</x:f>
        <x:v>500</x:v>
      </x:c>
      <x:c r="E30" s="69" t="n">
        <x:f>'Base longa'!M237</x:f>
        <x:v>538</x:v>
      </x:c>
      <x:c r="F30" s="53"/>
      <x:c r="G30" s="66"/>
      <x:c r="H30" s="96"/>
      <x:c r="I30" s="69"/>
      <x:c r="J30" s="69"/>
      <x:c r="K30" s="69"/>
      <x:c r="L30" s="53"/>
      <x:c r="M30" s="66"/>
      <x:c r="N30" s="96"/>
      <x:c r="O30" s="69"/>
      <x:c r="P30" s="69"/>
      <x:c r="Q30" s="69"/>
      <x:c r="R30" s="53"/>
      <x:c r="S30" s="66"/>
      <x:c r="T30" s="96"/>
      <x:c r="U30" s="69"/>
      <x:c r="V30" s="69"/>
      <x:c r="W30" s="69"/>
      <x:c r="X30" s="53"/>
      <x:c r="Y30" s="66"/>
      <x:c r="Z30" s="96"/>
      <x:c r="AA30" s="69"/>
      <x:c r="AB30" s="69"/>
      <x:c r="AC30" s="69"/>
    </x:row>
    <x:row r="31">
      <x:c r="A31" s="56" t="str">
        <x:v>GERAL</x:v>
      </x:c>
      <x:c r="B31" s="95" t="n">
        <x:f>'Base longa'!G238</x:f>
        <x:v>26</x:v>
      </x:c>
      <x:c r="C31" s="57" t="n">
        <x:f>'Base longa'!K238</x:f>
        <x:v>480</x:v>
      </x:c>
      <x:c r="D31" s="57" t="n">
        <x:f>'Base longa'!L238</x:f>
        <x:v>518</x:v>
      </x:c>
      <x:c r="E31" s="57" t="n">
        <x:f>'Base longa'!M238</x:f>
        <x:v>556</x:v>
      </x:c>
      <x:c r="F31" s="53"/>
      <x:c r="G31" s="56"/>
      <x:c r="H31" s="95"/>
      <x:c r="I31" s="57"/>
      <x:c r="J31" s="57"/>
      <x:c r="K31" s="57"/>
      <x:c r="L31" s="53"/>
      <x:c r="M31" s="56"/>
      <x:c r="N31" s="95"/>
      <x:c r="O31" s="57"/>
      <x:c r="P31" s="57"/>
      <x:c r="Q31" s="57"/>
      <x:c r="R31" s="53"/>
      <x:c r="S31" s="56"/>
      <x:c r="T31" s="95"/>
      <x:c r="U31" s="57"/>
      <x:c r="V31" s="57"/>
      <x:c r="W31" s="57"/>
      <x:c r="X31" s="53"/>
      <x:c r="Y31" s="56"/>
      <x:c r="Z31" s="95"/>
      <x:c r="AA31" s="57"/>
      <x:c r="AB31" s="57"/>
      <x:c r="AC31" s="57"/>
    </x:row>
    <x:row r="32">
      <x:c r="A32" s="66" t="str">
        <x:v>GERAL</x:v>
      </x:c>
      <x:c r="B32" s="96" t="n">
        <x:f>'Base longa'!G239</x:f>
        <x:v>27</x:v>
      </x:c>
      <x:c r="C32" s="69" t="n">
        <x:f>'Base longa'!K239</x:f>
        <x:v>498.1</x:v>
      </x:c>
      <x:c r="D32" s="69" t="n">
        <x:f>'Base longa'!L239</x:f>
        <x:v>535.9</x:v>
      </x:c>
      <x:c r="E32" s="69" t="n">
        <x:f>'Base longa'!M239</x:f>
        <x:v>573.7</x:v>
      </x:c>
      <x:c r="F32" s="53"/>
      <x:c r="G32" s="66"/>
      <x:c r="H32" s="96"/>
      <x:c r="I32" s="69"/>
      <x:c r="J32" s="69"/>
      <x:c r="K32" s="69"/>
      <x:c r="L32" s="53"/>
      <x:c r="M32" s="66"/>
      <x:c r="N32" s="96"/>
      <x:c r="O32" s="69"/>
      <x:c r="P32" s="69"/>
      <x:c r="Q32" s="69"/>
      <x:c r="R32" s="53"/>
      <x:c r="S32" s="66"/>
      <x:c r="T32" s="96"/>
      <x:c r="U32" s="69"/>
      <x:c r="V32" s="69"/>
      <x:c r="W32" s="69"/>
      <x:c r="X32" s="53"/>
      <x:c r="Y32" s="66"/>
      <x:c r="Z32" s="96"/>
      <x:c r="AA32" s="69"/>
      <x:c r="AB32" s="69"/>
      <x:c r="AC32" s="69"/>
    </x:row>
    <x:row r="33">
      <x:c r="A33" s="56" t="str">
        <x:v>GERAL</x:v>
      </x:c>
      <x:c r="B33" s="95" t="n">
        <x:f>'Base longa'!G240</x:f>
        <x:v>28</x:v>
      </x:c>
      <x:c r="C33" s="57" t="n">
        <x:f>'Base longa'!K240</x:f>
        <x:v>516.2</x:v>
      </x:c>
      <x:c r="D33" s="57" t="n">
        <x:f>'Base longa'!L240</x:f>
        <x:v>553.7</x:v>
      </x:c>
      <x:c r="E33" s="57" t="n">
        <x:f>'Base longa'!M240</x:f>
        <x:v>591.2</x:v>
      </x:c>
      <x:c r="F33" s="53"/>
      <x:c r="G33" s="56"/>
      <x:c r="H33" s="95"/>
      <x:c r="I33" s="57"/>
      <x:c r="J33" s="57"/>
      <x:c r="K33" s="57"/>
      <x:c r="L33" s="53"/>
      <x:c r="M33" s="56"/>
      <x:c r="N33" s="95"/>
      <x:c r="O33" s="57"/>
      <x:c r="P33" s="57"/>
      <x:c r="Q33" s="57"/>
      <x:c r="R33" s="53"/>
      <x:c r="S33" s="56"/>
      <x:c r="T33" s="95"/>
      <x:c r="U33" s="57"/>
      <x:c r="V33" s="57"/>
      <x:c r="W33" s="57"/>
      <x:c r="X33" s="53"/>
      <x:c r="Y33" s="56"/>
      <x:c r="Z33" s="95"/>
      <x:c r="AA33" s="57"/>
      <x:c r="AB33" s="57"/>
      <x:c r="AC33" s="57"/>
    </x:row>
    <x:row r="34">
      <x:c r="A34" s="66" t="str">
        <x:v>GERAL</x:v>
      </x:c>
      <x:c r="B34" s="96" t="n">
        <x:f>'Base longa'!G241</x:f>
        <x:v>29</x:v>
      </x:c>
      <x:c r="C34" s="69" t="n">
        <x:f>'Base longa'!K241</x:f>
        <x:v>534.4</x:v>
      </x:c>
      <x:c r="D34" s="69" t="n">
        <x:f>'Base longa'!L241</x:f>
        <x:v>571.4</x:v>
      </x:c>
      <x:c r="E34" s="69" t="n">
        <x:f>'Base longa'!M241</x:f>
        <x:v>608.4</x:v>
      </x:c>
      <x:c r="F34" s="53"/>
      <x:c r="G34" s="66"/>
      <x:c r="H34" s="96"/>
      <x:c r="I34" s="69"/>
      <x:c r="J34" s="69"/>
      <x:c r="K34" s="69"/>
      <x:c r="L34" s="53"/>
      <x:c r="M34" s="66"/>
      <x:c r="N34" s="96"/>
      <x:c r="O34" s="69"/>
      <x:c r="P34" s="69"/>
      <x:c r="Q34" s="69"/>
      <x:c r="R34" s="53"/>
      <x:c r="S34" s="66"/>
      <x:c r="T34" s="96"/>
      <x:c r="U34" s="69"/>
      <x:c r="V34" s="69"/>
      <x:c r="W34" s="69"/>
      <x:c r="X34" s="53"/>
      <x:c r="Y34" s="66"/>
      <x:c r="Z34" s="96"/>
      <x:c r="AA34" s="69"/>
      <x:c r="AB34" s="69"/>
      <x:c r="AC34" s="69"/>
    </x:row>
    <x:row r="35">
      <x:c r="A35" s="56" t="str">
        <x:v>GERAL</x:v>
      </x:c>
      <x:c r="B35" s="95" t="n">
        <x:f>'Base longa'!G242</x:f>
        <x:v>30</x:v>
      </x:c>
      <x:c r="C35" s="57" t="n">
        <x:f>'Base longa'!K242</x:f>
        <x:v>552.3</x:v>
      </x:c>
      <x:c r="D35" s="57" t="n">
        <x:f>'Base longa'!L242</x:f>
        <x:v>588.8</x:v>
      </x:c>
      <x:c r="E35" s="57" t="n">
        <x:f>'Base longa'!M242</x:f>
        <x:v>625.3</x:v>
      </x:c>
      <x:c r="F35" s="53"/>
      <x:c r="G35" s="56"/>
      <x:c r="H35" s="95"/>
      <x:c r="I35" s="57"/>
      <x:c r="J35" s="57"/>
      <x:c r="K35" s="57"/>
      <x:c r="L35" s="53"/>
      <x:c r="M35" s="56"/>
      <x:c r="N35" s="95"/>
      <x:c r="O35" s="57"/>
      <x:c r="P35" s="57"/>
      <x:c r="Q35" s="57"/>
      <x:c r="R35" s="53"/>
      <x:c r="S35" s="56"/>
      <x:c r="T35" s="95"/>
      <x:c r="U35" s="57"/>
      <x:c r="V35" s="57"/>
      <x:c r="W35" s="57"/>
      <x:c r="X35" s="53"/>
      <x:c r="Y35" s="56"/>
      <x:c r="Z35" s="95"/>
      <x:c r="AA35" s="57"/>
      <x:c r="AB35" s="57"/>
      <x:c r="AC35" s="57"/>
    </x:row>
    <x:row r="36">
      <x:c r="A36" s="66" t="str">
        <x:v>GERAL</x:v>
      </x:c>
      <x:c r="B36" s="96" t="n">
        <x:f>'Base longa'!G243</x:f>
        <x:v>31</x:v>
      </x:c>
      <x:c r="C36" s="69" t="n">
        <x:f>'Base longa'!K243</x:f>
        <x:v>570.1</x:v>
      </x:c>
      <x:c r="D36" s="69" t="n">
        <x:f>'Base longa'!L243</x:f>
        <x:v>605.9</x:v>
      </x:c>
      <x:c r="E36" s="69" t="n">
        <x:f>'Base longa'!M243</x:f>
        <x:v>641.7</x:v>
      </x:c>
      <x:c r="F36" s="53"/>
      <x:c r="G36" s="66"/>
      <x:c r="H36" s="96"/>
      <x:c r="I36" s="69"/>
      <x:c r="J36" s="69"/>
      <x:c r="K36" s="69"/>
      <x:c r="L36" s="53"/>
      <x:c r="M36" s="66"/>
      <x:c r="N36" s="96"/>
      <x:c r="O36" s="69"/>
      <x:c r="P36" s="69"/>
      <x:c r="Q36" s="69"/>
      <x:c r="R36" s="53"/>
      <x:c r="S36" s="66"/>
      <x:c r="T36" s="96"/>
      <x:c r="U36" s="69"/>
      <x:c r="V36" s="69"/>
      <x:c r="W36" s="69"/>
      <x:c r="X36" s="53"/>
      <x:c r="Y36" s="66"/>
      <x:c r="Z36" s="96"/>
      <x:c r="AA36" s="69"/>
      <x:c r="AB36" s="69"/>
      <x:c r="AC36" s="69"/>
    </x:row>
    <x:row r="37">
      <x:c r="A37" s="56" t="str">
        <x:v>GERAL</x:v>
      </x:c>
      <x:c r="B37" s="95" t="n">
        <x:f>'Base longa'!G244</x:f>
        <x:v>32</x:v>
      </x:c>
      <x:c r="C37" s="57" t="n">
        <x:f>'Base longa'!K244</x:f>
        <x:v>587.7</x:v>
      </x:c>
      <x:c r="D37" s="57" t="n">
        <x:f>'Base longa'!L244</x:f>
        <x:v>622.7</x:v>
      </x:c>
      <x:c r="E37" s="57" t="n">
        <x:f>'Base longa'!M244</x:f>
        <x:v>657.7</x:v>
      </x:c>
      <x:c r="F37" s="53"/>
      <x:c r="G37" s="56"/>
      <x:c r="H37" s="95"/>
      <x:c r="I37" s="57"/>
      <x:c r="J37" s="57"/>
      <x:c r="K37" s="57"/>
      <x:c r="L37" s="53"/>
      <x:c r="M37" s="56"/>
      <x:c r="N37" s="95"/>
      <x:c r="O37" s="57"/>
      <x:c r="P37" s="57"/>
      <x:c r="Q37" s="57"/>
      <x:c r="R37" s="53"/>
      <x:c r="S37" s="56"/>
      <x:c r="T37" s="95"/>
      <x:c r="U37" s="57"/>
      <x:c r="V37" s="57"/>
      <x:c r="W37" s="57"/>
      <x:c r="X37" s="53"/>
      <x:c r="Y37" s="56"/>
      <x:c r="Z37" s="95"/>
      <x:c r="AA37" s="57"/>
      <x:c r="AB37" s="57"/>
      <x:c r="AC37" s="57"/>
    </x:row>
    <x:row r="38">
      <x:c r="A38" s="66" t="str">
        <x:v>GERAL</x:v>
      </x:c>
      <x:c r="B38" s="96" t="n">
        <x:f>'Base longa'!G245</x:f>
        <x:v>33</x:v>
      </x:c>
      <x:c r="C38" s="69" t="n">
        <x:f>'Base longa'!K245</x:f>
        <x:v>605</x:v>
      </x:c>
      <x:c r="D38" s="69" t="n">
        <x:f>'Base longa'!L245</x:f>
        <x:v>639.1</x:v>
      </x:c>
      <x:c r="E38" s="69" t="n">
        <x:f>'Base longa'!M245</x:f>
        <x:v>673.2</x:v>
      </x:c>
      <x:c r="F38" s="53"/>
      <x:c r="G38" s="66"/>
      <x:c r="H38" s="96"/>
      <x:c r="I38" s="69"/>
      <x:c r="J38" s="69"/>
      <x:c r="K38" s="69"/>
      <x:c r="L38" s="53"/>
      <x:c r="M38" s="66"/>
      <x:c r="N38" s="96"/>
      <x:c r="O38" s="69"/>
      <x:c r="P38" s="69"/>
      <x:c r="Q38" s="69"/>
      <x:c r="R38" s="53"/>
      <x:c r="S38" s="66"/>
      <x:c r="T38" s="96"/>
      <x:c r="U38" s="69"/>
      <x:c r="V38" s="69"/>
      <x:c r="W38" s="69"/>
      <x:c r="X38" s="53"/>
      <x:c r="Y38" s="66"/>
      <x:c r="Z38" s="96"/>
      <x:c r="AA38" s="69"/>
      <x:c r="AB38" s="69"/>
      <x:c r="AC38" s="69"/>
    </x:row>
    <x:row r="39">
      <x:c r="A39" s="56" t="str">
        <x:v>GERAL</x:v>
      </x:c>
      <x:c r="B39" s="95" t="n">
        <x:f>'Base longa'!G246</x:f>
        <x:v>34</x:v>
      </x:c>
      <x:c r="C39" s="57" t="n">
        <x:f>'Base longa'!K246</x:f>
        <x:v>621.9</x:v>
      </x:c>
      <x:c r="D39" s="57" t="n">
        <x:f>'Base longa'!L246</x:f>
        <x:v>655</x:v>
      </x:c>
      <x:c r="E39" s="57" t="n">
        <x:f>'Base longa'!M246</x:f>
        <x:v>688.1</x:v>
      </x:c>
      <x:c r="F39" s="53"/>
      <x:c r="G39" s="56"/>
      <x:c r="H39" s="95"/>
      <x:c r="I39" s="57"/>
      <x:c r="J39" s="57"/>
      <x:c r="K39" s="57"/>
      <x:c r="L39" s="53"/>
      <x:c r="M39" s="56"/>
      <x:c r="N39" s="95"/>
      <x:c r="O39" s="57"/>
      <x:c r="P39" s="57"/>
      <x:c r="Q39" s="57"/>
      <x:c r="R39" s="53"/>
      <x:c r="S39" s="56"/>
      <x:c r="T39" s="95"/>
      <x:c r="U39" s="57"/>
      <x:c r="V39" s="57"/>
      <x:c r="W39" s="57"/>
      <x:c r="X39" s="53"/>
      <x:c r="Y39" s="56"/>
      <x:c r="Z39" s="95"/>
      <x:c r="AA39" s="57"/>
      <x:c r="AB39" s="57"/>
      <x:c r="AC39" s="57"/>
    </x:row>
    <x:row r="40">
      <x:c r="A40" s="66" t="str">
        <x:v>GERAL</x:v>
      </x:c>
      <x:c r="B40" s="96" t="n">
        <x:f>'Base longa'!G247</x:f>
        <x:v>35</x:v>
      </x:c>
      <x:c r="C40" s="69" t="n">
        <x:f>'Base longa'!K247</x:f>
        <x:v>638.5</x:v>
      </x:c>
      <x:c r="D40" s="69" t="n">
        <x:f>'Base longa'!L247</x:f>
        <x:v>670.4</x:v>
      </x:c>
      <x:c r="E40" s="69" t="n">
        <x:f>'Base longa'!M247</x:f>
        <x:v>702.3</x:v>
      </x:c>
      <x:c r="F40" s="53"/>
      <x:c r="G40" s="66"/>
      <x:c r="H40" s="96"/>
      <x:c r="I40" s="69"/>
      <x:c r="J40" s="69"/>
      <x:c r="K40" s="69"/>
      <x:c r="L40" s="53"/>
      <x:c r="M40" s="66"/>
      <x:c r="N40" s="96"/>
      <x:c r="O40" s="69"/>
      <x:c r="P40" s="69"/>
      <x:c r="Q40" s="69"/>
      <x:c r="R40" s="53"/>
      <x:c r="S40" s="66"/>
      <x:c r="T40" s="96"/>
      <x:c r="U40" s="69"/>
      <x:c r="V40" s="69"/>
      <x:c r="W40" s="69"/>
      <x:c r="X40" s="53"/>
      <x:c r="Y40" s="66"/>
      <x:c r="Z40" s="96"/>
      <x:c r="AA40" s="69"/>
      <x:c r="AB40" s="69"/>
      <x:c r="AC40" s="69"/>
    </x:row>
    <x:row r="41">
      <x:c r="A41" s="56" t="str">
        <x:v>GERAL</x:v>
      </x:c>
      <x:c r="B41" s="95" t="n">
        <x:f>'Base longa'!G248</x:f>
        <x:v>36</x:v>
      </x:c>
      <x:c r="C41" s="57" t="n">
        <x:f>'Base longa'!K248</x:f>
        <x:v>654.5</x:v>
      </x:c>
      <x:c r="D41" s="57" t="n">
        <x:f>'Base longa'!L248</x:f>
        <x:v>685.2</x:v>
      </x:c>
      <x:c r="E41" s="57" t="n">
        <x:f>'Base longa'!M248</x:f>
        <x:v>715.9</x:v>
      </x:c>
      <x:c r="F41" s="53"/>
      <x:c r="G41" s="56"/>
      <x:c r="H41" s="95"/>
      <x:c r="I41" s="57"/>
      <x:c r="J41" s="57"/>
      <x:c r="K41" s="57"/>
      <x:c r="L41" s="53"/>
      <x:c r="M41" s="56"/>
      <x:c r="N41" s="95"/>
      <x:c r="O41" s="57"/>
      <x:c r="P41" s="57"/>
      <x:c r="Q41" s="57"/>
      <x:c r="R41" s="53"/>
      <x:c r="S41" s="56"/>
      <x:c r="T41" s="95"/>
      <x:c r="U41" s="57"/>
      <x:c r="V41" s="57"/>
      <x:c r="W41" s="57"/>
      <x:c r="X41" s="53"/>
      <x:c r="Y41" s="56"/>
      <x:c r="Z41" s="95"/>
      <x:c r="AA41" s="57"/>
      <x:c r="AB41" s="57"/>
      <x:c r="AC41" s="57"/>
    </x:row>
    <x:row r="42">
      <x:c r="A42" s="66" t="str">
        <x:v>GERAL</x:v>
      </x:c>
      <x:c r="B42" s="96" t="n">
        <x:f>'Base longa'!G249</x:f>
        <x:v>37</x:v>
      </x:c>
      <x:c r="C42" s="69" t="n">
        <x:f>'Base longa'!K249</x:f>
        <x:v>670.1</x:v>
      </x:c>
      <x:c r="D42" s="69" t="n">
        <x:f>'Base longa'!L249</x:f>
        <x:v>699.4</x:v>
      </x:c>
      <x:c r="E42" s="69" t="n">
        <x:f>'Base longa'!M249</x:f>
        <x:v>728.7</x:v>
      </x:c>
      <x:c r="F42" s="53"/>
      <x:c r="G42" s="66"/>
      <x:c r="H42" s="96"/>
      <x:c r="I42" s="69"/>
      <x:c r="J42" s="69"/>
      <x:c r="K42" s="69"/>
      <x:c r="L42" s="53"/>
      <x:c r="M42" s="66"/>
      <x:c r="N42" s="96"/>
      <x:c r="O42" s="69"/>
      <x:c r="P42" s="69"/>
      <x:c r="Q42" s="69"/>
      <x:c r="R42" s="53"/>
      <x:c r="S42" s="66"/>
      <x:c r="T42" s="96"/>
      <x:c r="U42" s="69"/>
      <x:c r="V42" s="69"/>
      <x:c r="W42" s="69"/>
      <x:c r="X42" s="53"/>
      <x:c r="Y42" s="66"/>
      <x:c r="Z42" s="96"/>
      <x:c r="AA42" s="69"/>
      <x:c r="AB42" s="69"/>
      <x:c r="AC42" s="69"/>
    </x:row>
    <x:row r="43">
      <x:c r="A43" s="56" t="str">
        <x:v>GERAL</x:v>
      </x:c>
      <x:c r="B43" s="95" t="n">
        <x:f>'Base longa'!G250</x:f>
        <x:v>38</x:v>
      </x:c>
      <x:c r="C43" s="57" t="n">
        <x:f>'Base longa'!K250</x:f>
        <x:v>685.2</x:v>
      </x:c>
      <x:c r="D43" s="57" t="n">
        <x:f>'Base longa'!L250</x:f>
        <x:v>712.9</x:v>
      </x:c>
      <x:c r="E43" s="57" t="n">
        <x:f>'Base longa'!M250</x:f>
        <x:v>740.6</x:v>
      </x:c>
      <x:c r="F43" s="53"/>
      <x:c r="G43" s="56"/>
      <x:c r="H43" s="95"/>
      <x:c r="I43" s="57"/>
      <x:c r="J43" s="57"/>
      <x:c r="K43" s="57"/>
      <x:c r="L43" s="53"/>
      <x:c r="M43" s="56"/>
      <x:c r="N43" s="95"/>
      <x:c r="O43" s="57"/>
      <x:c r="P43" s="57"/>
      <x:c r="Q43" s="57"/>
      <x:c r="R43" s="53"/>
      <x:c r="S43" s="56"/>
      <x:c r="T43" s="95"/>
      <x:c r="U43" s="57"/>
      <x:c r="V43" s="57"/>
      <x:c r="W43" s="57"/>
      <x:c r="X43" s="53"/>
      <x:c r="Y43" s="56"/>
      <x:c r="Z43" s="95"/>
      <x:c r="AA43" s="57"/>
      <x:c r="AB43" s="57"/>
      <x:c r="AC43" s="57"/>
    </x:row>
    <x:row r="44">
      <x:c r="A44" s="66" t="str">
        <x:v>GERAL</x:v>
      </x:c>
      <x:c r="B44" s="96" t="n">
        <x:f>'Base longa'!G251</x:f>
        <x:v>39</x:v>
      </x:c>
      <x:c r="C44" s="69" t="n">
        <x:f>'Base longa'!K251</x:f>
        <x:v>699.6</x:v>
      </x:c>
      <x:c r="D44" s="69" t="n">
        <x:f>'Base longa'!L251</x:f>
        <x:v>725.7</x:v>
      </x:c>
      <x:c r="E44" s="69" t="n">
        <x:f>'Base longa'!M251</x:f>
        <x:v>751.8</x:v>
      </x:c>
      <x:c r="F44" s="53"/>
      <x:c r="G44" s="66"/>
      <x:c r="H44" s="96"/>
      <x:c r="I44" s="69"/>
      <x:c r="J44" s="69"/>
      <x:c r="K44" s="69"/>
      <x:c r="L44" s="53"/>
      <x:c r="M44" s="66"/>
      <x:c r="N44" s="96"/>
      <x:c r="O44" s="69"/>
      <x:c r="P44" s="69"/>
      <x:c r="Q44" s="69"/>
      <x:c r="R44" s="53"/>
      <x:c r="S44" s="66"/>
      <x:c r="T44" s="96"/>
      <x:c r="U44" s="69"/>
      <x:c r="V44" s="69"/>
      <x:c r="W44" s="69"/>
      <x:c r="X44" s="53"/>
      <x:c r="Y44" s="66"/>
      <x:c r="Z44" s="96"/>
      <x:c r="AA44" s="69"/>
      <x:c r="AB44" s="69"/>
      <x:c r="AC44" s="69"/>
    </x:row>
    <x:row r="45">
      <x:c r="A45" s="56" t="str">
        <x:v>GERAL</x:v>
      </x:c>
      <x:c r="B45" s="95" t="n">
        <x:f>'Base longa'!G252</x:f>
        <x:v>40</x:v>
      </x:c>
      <x:c r="C45" s="57" t="n">
        <x:f>'Base longa'!K252</x:f>
        <x:v>713.3</x:v>
      </x:c>
      <x:c r="D45" s="57" t="n">
        <x:f>'Base longa'!L252</x:f>
        <x:v>737.6</x:v>
      </x:c>
      <x:c r="E45" s="57" t="n">
        <x:f>'Base longa'!M252</x:f>
        <x:v>761.9</x:v>
      </x:c>
      <x:c r="F45" s="53"/>
      <x:c r="G45" s="56"/>
      <x:c r="H45" s="95"/>
      <x:c r="I45" s="57"/>
      <x:c r="J45" s="57"/>
      <x:c r="K45" s="57"/>
      <x:c r="L45" s="53"/>
      <x:c r="M45" s="56"/>
      <x:c r="N45" s="95"/>
      <x:c r="O45" s="57"/>
      <x:c r="P45" s="57"/>
      <x:c r="Q45" s="57"/>
      <x:c r="R45" s="53"/>
      <x:c r="S45" s="56"/>
      <x:c r="T45" s="95"/>
      <x:c r="U45" s="57"/>
      <x:c r="V45" s="57"/>
      <x:c r="W45" s="57"/>
      <x:c r="X45" s="53"/>
      <x:c r="Y45" s="56"/>
      <x:c r="Z45" s="95"/>
      <x:c r="AA45" s="57"/>
      <x:c r="AB45" s="57"/>
      <x:c r="AC45" s="57"/>
    </x:row>
    <x:row r="46">
      <x:c r="A46" s="66" t="str">
        <x:v>GERAL</x:v>
      </x:c>
      <x:c r="B46" s="96" t="n">
        <x:f>'Base longa'!G253</x:f>
        <x:v>41</x:v>
      </x:c>
      <x:c r="C46" s="69" t="n">
        <x:f>'Base longa'!K253</x:f>
        <x:v>726.3</x:v>
      </x:c>
      <x:c r="D46" s="69" t="n">
        <x:f>'Base longa'!L253</x:f>
        <x:v>748.7</x:v>
      </x:c>
      <x:c r="E46" s="69" t="n">
        <x:f>'Base longa'!M253</x:f>
        <x:v>771.1</x:v>
      </x:c>
      <x:c r="F46" s="53"/>
      <x:c r="G46" s="66"/>
      <x:c r="H46" s="96"/>
      <x:c r="I46" s="69"/>
      <x:c r="J46" s="69"/>
      <x:c r="K46" s="69"/>
      <x:c r="L46" s="53"/>
      <x:c r="M46" s="66"/>
      <x:c r="N46" s="96"/>
      <x:c r="O46" s="69"/>
      <x:c r="P46" s="69"/>
      <x:c r="Q46" s="69"/>
      <x:c r="R46" s="53"/>
      <x:c r="S46" s="66"/>
      <x:c r="T46" s="96"/>
      <x:c r="U46" s="69"/>
      <x:c r="V46" s="69"/>
      <x:c r="W46" s="69"/>
      <x:c r="X46" s="53"/>
      <x:c r="Y46" s="66"/>
      <x:c r="Z46" s="96"/>
      <x:c r="AA46" s="69"/>
      <x:c r="AB46" s="69"/>
      <x:c r="AC46" s="69"/>
    </x:row>
    <x:row r="47">
      <x:c r="A47" s="56" t="str">
        <x:v>GERAL</x:v>
      </x:c>
      <x:c r="B47" s="95" t="n">
        <x:f>'Base longa'!G254</x:f>
        <x:v>42</x:v>
      </x:c>
      <x:c r="C47" s="57" t="n">
        <x:f>'Base longa'!K254</x:f>
        <x:v>738.4</x:v>
      </x:c>
      <x:c r="D47" s="57" t="n">
        <x:f>'Base longa'!L254</x:f>
        <x:v>758.8</x:v>
      </x:c>
      <x:c r="E47" s="57" t="n">
        <x:f>'Base longa'!M254</x:f>
        <x:v>779.2</x:v>
      </x:c>
      <x:c r="F47" s="53"/>
      <x:c r="G47" s="56"/>
      <x:c r="H47" s="95"/>
      <x:c r="I47" s="57"/>
      <x:c r="J47" s="57"/>
      <x:c r="K47" s="57"/>
      <x:c r="L47" s="53"/>
      <x:c r="M47" s="56"/>
      <x:c r="N47" s="95"/>
      <x:c r="O47" s="57"/>
      <x:c r="P47" s="57"/>
      <x:c r="Q47" s="57"/>
      <x:c r="R47" s="53"/>
      <x:c r="S47" s="56"/>
      <x:c r="T47" s="95"/>
      <x:c r="U47" s="57"/>
      <x:c r="V47" s="57"/>
      <x:c r="W47" s="57"/>
      <x:c r="X47" s="53"/>
      <x:c r="Y47" s="56"/>
      <x:c r="Z47" s="95"/>
      <x:c r="AA47" s="57"/>
      <x:c r="AB47" s="57"/>
      <x:c r="AC47" s="57"/>
    </x:row>
    <x:row r="48">
      <x:c r="A48" s="66" t="str">
        <x:v>GERAL</x:v>
      </x:c>
      <x:c r="B48" s="96" t="n">
        <x:f>'Base longa'!G255</x:f>
        <x:v>43</x:v>
      </x:c>
      <x:c r="C48" s="69" t="n">
        <x:f>'Base longa'!K255</x:f>
        <x:v>749.7</x:v>
      </x:c>
      <x:c r="D48" s="69" t="n">
        <x:f>'Base longa'!L255</x:f>
        <x:v>768</x:v>
      </x:c>
      <x:c r="E48" s="69" t="n">
        <x:f>'Base longa'!M255</x:f>
        <x:v>786.3</x:v>
      </x:c>
      <x:c r="F48" s="53"/>
      <x:c r="G48" s="66"/>
      <x:c r="H48" s="96"/>
      <x:c r="I48" s="69"/>
      <x:c r="J48" s="69"/>
      <x:c r="K48" s="69"/>
      <x:c r="L48" s="53"/>
      <x:c r="M48" s="66"/>
      <x:c r="N48" s="96"/>
      <x:c r="O48" s="69"/>
      <x:c r="P48" s="69"/>
      <x:c r="Q48" s="69"/>
      <x:c r="R48" s="53"/>
      <x:c r="S48" s="66"/>
      <x:c r="T48" s="96"/>
      <x:c r="U48" s="69"/>
      <x:c r="V48" s="69"/>
      <x:c r="W48" s="69"/>
      <x:c r="X48" s="53"/>
      <x:c r="Y48" s="66"/>
      <x:c r="Z48" s="96"/>
      <x:c r="AA48" s="69"/>
      <x:c r="AB48" s="69"/>
      <x:c r="AC48" s="69"/>
    </x:row>
    <x:row r="49">
      <x:c r="A49" s="56" t="str">
        <x:v>GERAL</x:v>
      </x:c>
      <x:c r="B49" s="95" t="n">
        <x:f>'Base longa'!G256</x:f>
        <x:v>44</x:v>
      </x:c>
      <x:c r="C49" s="57" t="n">
        <x:f>'Base longa'!K256</x:f>
        <x:v>760.1</x:v>
      </x:c>
      <x:c r="D49" s="57" t="n">
        <x:f>'Base longa'!L256</x:f>
        <x:v>776.2</x:v>
      </x:c>
      <x:c r="E49" s="57" t="n">
        <x:f>'Base longa'!M256</x:f>
        <x:v>792.3</x:v>
      </x:c>
      <x:c r="F49" s="53"/>
      <x:c r="G49" s="56"/>
      <x:c r="H49" s="95"/>
      <x:c r="I49" s="57"/>
      <x:c r="J49" s="57"/>
      <x:c r="K49" s="57"/>
      <x:c r="L49" s="53"/>
      <x:c r="M49" s="56"/>
      <x:c r="N49" s="95"/>
      <x:c r="O49" s="57"/>
      <x:c r="P49" s="57"/>
      <x:c r="Q49" s="57"/>
      <x:c r="R49" s="53"/>
      <x:c r="S49" s="56"/>
      <x:c r="T49" s="95"/>
      <x:c r="U49" s="57"/>
      <x:c r="V49" s="57"/>
      <x:c r="W49" s="57"/>
      <x:c r="X49" s="53"/>
      <x:c r="Y49" s="56"/>
      <x:c r="Z49" s="95"/>
      <x:c r="AA49" s="57"/>
      <x:c r="AB49" s="57"/>
      <x:c r="AC49" s="57"/>
    </x:row>
    <x:row r="50">
      <x:c r="A50" s="66" t="str">
        <x:v>GERAL</x:v>
      </x:c>
      <x:c r="B50" s="96" t="n">
        <x:f>'Base longa'!G257</x:f>
        <x:v>45</x:v>
      </x:c>
      <x:c r="C50" s="69" t="n">
        <x:f>'Base longa'!K257</x:f>
        <x:v>769.5</x:v>
      </x:c>
      <x:c r="D50" s="69" t="n">
        <x:f>'Base longa'!L257</x:f>
        <x:v>783.2</x:v>
      </x:c>
      <x:c r="E50" s="69" t="n">
        <x:f>'Base longa'!M257</x:f>
        <x:v>796.9</x:v>
      </x:c>
      <x:c r="F50" s="53"/>
      <x:c r="G50" s="66"/>
      <x:c r="H50" s="96"/>
      <x:c r="I50" s="69"/>
      <x:c r="J50" s="69"/>
      <x:c r="K50" s="69"/>
      <x:c r="L50" s="53"/>
      <x:c r="M50" s="66"/>
      <x:c r="N50" s="96"/>
      <x:c r="O50" s="69"/>
      <x:c r="P50" s="69"/>
      <x:c r="Q50" s="69"/>
      <x:c r="R50" s="53"/>
      <x:c r="S50" s="66"/>
      <x:c r="T50" s="96"/>
      <x:c r="U50" s="69"/>
      <x:c r="V50" s="69"/>
      <x:c r="W50" s="69"/>
      <x:c r="X50" s="53"/>
      <x:c r="Y50" s="66"/>
      <x:c r="Z50" s="96"/>
      <x:c r="AA50" s="69"/>
      <x:c r="AB50" s="69"/>
      <x:c r="AC50" s="69"/>
    </x:row>
    <x:row r="51">
      <x:c r="A51" s="56" t="str">
        <x:v>GERAL</x:v>
      </x:c>
      <x:c r="B51" s="95" t="n">
        <x:f>'Base longa'!G258</x:f>
        <x:v>46</x:v>
      </x:c>
      <x:c r="C51" s="57" t="n">
        <x:f>'Base longa'!K258</x:f>
        <x:v>777.9</x:v>
      </x:c>
      <x:c r="D51" s="57" t="n">
        <x:f>'Base longa'!L258</x:f>
        <x:v>789.1</x:v>
      </x:c>
      <x:c r="E51" s="57" t="n">
        <x:f>'Base longa'!M258</x:f>
        <x:v>800</x:v>
      </x:c>
      <x:c r="F51" s="53"/>
      <x:c r="G51" s="56"/>
      <x:c r="H51" s="95"/>
      <x:c r="I51" s="57"/>
      <x:c r="J51" s="57"/>
      <x:c r="K51" s="57"/>
      <x:c r="L51" s="53"/>
      <x:c r="M51" s="56"/>
      <x:c r="N51" s="95"/>
      <x:c r="O51" s="57"/>
      <x:c r="P51" s="57"/>
      <x:c r="Q51" s="57"/>
      <x:c r="R51" s="53"/>
      <x:c r="S51" s="56"/>
      <x:c r="T51" s="95"/>
      <x:c r="U51" s="57"/>
      <x:c r="V51" s="57"/>
      <x:c r="W51" s="57"/>
      <x:c r="X51" s="53"/>
      <x:c r="Y51" s="56"/>
      <x:c r="Z51" s="95"/>
      <x:c r="AA51" s="57"/>
      <x:c r="AB51" s="57"/>
      <x:c r="AC51" s="57"/>
    </x:row>
    <x:row r="52">
      <x:c r="A52" s="66" t="str">
        <x:v>GERAL</x:v>
      </x:c>
      <x:c r="B52" s="96" t="n">
        <x:f>'Base longa'!G259</x:f>
        <x:v>47</x:v>
      </x:c>
      <x:c r="C52" s="69" t="n">
        <x:f>'Base longa'!K259</x:f>
        <x:v>785.2</x:v>
      </x:c>
      <x:c r="D52" s="69" t="n">
        <x:f>'Base longa'!L259</x:f>
        <x:v>793.8</x:v>
      </x:c>
      <x:c r="E52" s="69" t="n">
        <x:f>'Base longa'!M259</x:f>
        <x:v>800</x:v>
      </x:c>
      <x:c r="F52" s="53"/>
      <x:c r="G52" s="66"/>
      <x:c r="H52" s="96"/>
      <x:c r="I52" s="69"/>
      <x:c r="J52" s="69"/>
      <x:c r="K52" s="69"/>
      <x:c r="L52" s="53"/>
      <x:c r="M52" s="66"/>
      <x:c r="N52" s="96"/>
      <x:c r="O52" s="69"/>
      <x:c r="P52" s="69"/>
      <x:c r="Q52" s="69"/>
      <x:c r="R52" s="53"/>
      <x:c r="S52" s="66"/>
      <x:c r="T52" s="96"/>
      <x:c r="U52" s="69"/>
      <x:c r="V52" s="69"/>
      <x:c r="W52" s="69"/>
      <x:c r="X52" s="53"/>
      <x:c r="Y52" s="66"/>
      <x:c r="Z52" s="96"/>
      <x:c r="AA52" s="69"/>
      <x:c r="AB52" s="69"/>
      <x:c r="AC52" s="69"/>
    </x:row>
    <x:row r="53">
      <x:c r="A53" s="56" t="str">
        <x:v>GERAL</x:v>
      </x:c>
      <x:c r="B53" s="95" t="n">
        <x:f>'Base longa'!G260</x:f>
        <x:v>48</x:v>
      </x:c>
      <x:c r="C53" s="57" t="n">
        <x:f>'Base longa'!K260</x:f>
        <x:v>791.4</x:v>
      </x:c>
      <x:c r="D53" s="57" t="n">
        <x:f>'Base longa'!L260</x:f>
        <x:v>797.2</x:v>
      </x:c>
      <x:c r="E53" s="57" t="n">
        <x:f>'Base longa'!M260</x:f>
        <x:v>800</x:v>
      </x:c>
      <x:c r="F53" s="53"/>
      <x:c r="G53" s="56"/>
      <x:c r="H53" s="95"/>
      <x:c r="I53" s="57"/>
      <x:c r="J53" s="57"/>
      <x:c r="K53" s="57"/>
      <x:c r="L53" s="53"/>
      <x:c r="M53" s="56"/>
      <x:c r="N53" s="95"/>
      <x:c r="O53" s="57"/>
      <x:c r="P53" s="57"/>
      <x:c r="Q53" s="57"/>
      <x:c r="R53" s="53"/>
      <x:c r="S53" s="56"/>
      <x:c r="T53" s="95"/>
      <x:c r="U53" s="57"/>
      <x:c r="V53" s="57"/>
      <x:c r="W53" s="57"/>
      <x:c r="X53" s="53"/>
      <x:c r="Y53" s="56"/>
      <x:c r="Z53" s="95"/>
      <x:c r="AA53" s="57"/>
      <x:c r="AB53" s="57"/>
      <x:c r="AC53" s="57"/>
    </x:row>
    <x:row r="54">
      <x:c r="A54" s="66" t="str">
        <x:v>GERAL</x:v>
      </x:c>
      <x:c r="B54" s="96" t="n">
        <x:f>'Base longa'!G261</x:f>
        <x:v>49</x:v>
      </x:c>
      <x:c r="C54" s="69" t="n">
        <x:f>'Base longa'!K261</x:f>
        <x:v>796.3</x:v>
      </x:c>
      <x:c r="D54" s="69" t="n">
        <x:f>'Base longa'!L261</x:f>
        <x:v>799.3</x:v>
      </x:c>
      <x:c r="E54" s="69" t="n">
        <x:f>'Base longa'!M261</x:f>
        <x:v>800</x:v>
      </x:c>
      <x:c r="F54" s="53"/>
      <x:c r="G54" s="66"/>
      <x:c r="H54" s="96"/>
      <x:c r="I54" s="69"/>
      <x:c r="J54" s="69"/>
      <x:c r="K54" s="69"/>
      <x:c r="L54" s="53"/>
      <x:c r="M54" s="66"/>
      <x:c r="N54" s="96"/>
      <x:c r="O54" s="69"/>
      <x:c r="P54" s="69"/>
      <x:c r="Q54" s="69"/>
      <x:c r="R54" s="53"/>
      <x:c r="S54" s="66"/>
      <x:c r="T54" s="96"/>
      <x:c r="U54" s="69"/>
      <x:c r="V54" s="69"/>
      <x:c r="W54" s="69"/>
      <x:c r="X54" s="53"/>
      <x:c r="Y54" s="66"/>
      <x:c r="Z54" s="96"/>
      <x:c r="AA54" s="69"/>
      <x:c r="AB54" s="69"/>
      <x:c r="AC54" s="69"/>
    </x:row>
    <x:row r="55">
      <x:c r="A55" s="56" t="str">
        <x:v>GERAL</x:v>
      </x:c>
      <x:c r="B55" s="95" t="n">
        <x:f>'Base longa'!G262</x:f>
        <x:v>50</x:v>
      </x:c>
      <x:c r="C55" s="57" t="n">
        <x:f>'Base longa'!K262</x:f>
        <x:v>800</x:v>
      </x:c>
      <x:c r="D55" s="57" t="n">
        <x:f>'Base longa'!L262</x:f>
        <x:v>800</x:v>
      </x:c>
      <x:c r="E55" s="57" t="n">
        <x:f>'Base longa'!M262</x:f>
        <x:v>800</x:v>
      </x:c>
      <x:c r="F55" s="53"/>
      <x:c r="G55" s="56"/>
      <x:c r="H55" s="95"/>
      <x:c r="I55" s="57"/>
      <x:c r="J55" s="57"/>
      <x:c r="K55" s="57"/>
      <x:c r="L55" s="53"/>
      <x:c r="M55" s="56"/>
      <x:c r="N55" s="95"/>
      <x:c r="O55" s="57"/>
      <x:c r="P55" s="57"/>
      <x:c r="Q55" s="57"/>
      <x:c r="R55" s="53"/>
      <x:c r="S55" s="56"/>
      <x:c r="T55" s="95"/>
      <x:c r="U55" s="57"/>
      <x:c r="V55" s="57"/>
      <x:c r="W55" s="57"/>
      <x:c r="X55" s="53"/>
      <x:c r="Y55" s="56"/>
      <x:c r="Z55" s="95"/>
      <x:c r="AA55" s="57"/>
      <x:c r="AB55" s="57"/>
      <x:c r="AC55" s="57"/>
    </x:row>
    <x:row r="56">
      <x:c r="A56" s="53"/>
      <x:c r="B56" s="53"/>
      <x:c r="C56" s="53"/>
      <x:c r="D56" s="53"/>
      <x:c r="E56" s="53"/>
      <x:c r="F56" s="53"/>
      <x:c r="G56" s="53"/>
      <x:c r="H56" s="53"/>
      <x:c r="I56" s="53"/>
      <x:c r="J56" s="53"/>
      <x:c r="K56" s="53"/>
      <x:c r="L56" s="53"/>
      <x:c r="M56" s="53"/>
      <x:c r="N56" s="53"/>
      <x:c r="O56" s="53"/>
      <x:c r="P56" s="53"/>
      <x:c r="Q56" s="53"/>
      <x:c r="R56" s="53"/>
      <x:c r="S56" s="53"/>
      <x:c r="T56" s="53"/>
      <x:c r="U56" s="53"/>
      <x:c r="V56" s="53"/>
      <x:c r="W56" s="53"/>
      <x:c r="X56" s="53"/>
      <x:c r="Y56" s="53"/>
      <x:c r="Z56" s="53"/>
      <x:c r="AA56" s="53"/>
      <x:c r="AB56" s="53"/>
      <x:c r="AC56" s="53"/>
    </x:row>
    <x:row r="57">
      <x:c r="A57" s="53"/>
      <x:c r="B57" s="53"/>
      <x:c r="C57" s="53"/>
      <x:c r="D57" s="53"/>
      <x:c r="E57" s="53"/>
      <x:c r="F57" s="53"/>
      <x:c r="G57" s="53"/>
      <x:c r="H57" s="53"/>
      <x:c r="I57" s="53"/>
      <x:c r="J57" s="53"/>
      <x:c r="K57" s="53"/>
      <x:c r="L57" s="53"/>
      <x:c r="M57" s="53"/>
      <x:c r="N57" s="53"/>
      <x:c r="O57" s="53"/>
      <x:c r="P57" s="53"/>
      <x:c r="Q57" s="53"/>
      <x:c r="R57" s="53"/>
      <x:c r="S57" s="53"/>
      <x:c r="T57" s="53"/>
      <x:c r="U57" s="53"/>
      <x:c r="V57" s="53"/>
      <x:c r="W57" s="53"/>
      <x:c r="X57" s="53"/>
      <x:c r="Y57" s="53"/>
      <x:c r="Z57" s="53"/>
      <x:c r="AA57" s="53"/>
      <x:c r="AB57" s="53"/>
      <x:c r="AC57" s="53"/>
    </x:row>
    <x:row r="58" ht="28" customHeight="1">
      <x:c r="A58" s="97" t="str">
        <x:v>LEITURA: a mesma quantidade de acertos pode gerar resultados distintos conforme a dificuldade e a coerência do padrão de respostas. Por isso, mínimo e máximo são possibilidades, não garantias.</x:v>
      </x:c>
      <x:c r="B58" s="97"/>
      <x:c r="C58" s="97"/>
      <x:c r="D58" s="97"/>
      <x:c r="E58" s="97"/>
      <x:c r="F58" s="97"/>
      <x:c r="G58" s="97"/>
      <x:c r="H58" s="97"/>
      <x:c r="I58" s="97"/>
      <x:c r="J58" s="97"/>
      <x:c r="K58" s="97"/>
      <x:c r="L58" s="97"/>
      <x:c r="M58" s="97"/>
      <x:c r="N58" s="97"/>
      <x:c r="O58" s="97"/>
      <x:c r="P58" s="97"/>
      <x:c r="Q58" s="97"/>
      <x:c r="R58" s="97"/>
      <x:c r="S58" s="97"/>
      <x:c r="T58" s="97"/>
      <x:c r="U58" s="97"/>
      <x:c r="V58" s="97"/>
      <x:c r="W58" s="97"/>
      <x:c r="X58" s="97"/>
      <x:c r="Y58" s="97"/>
      <x:c r="Z58" s="97"/>
      <x:c r="AA58" s="97"/>
      <x:c r="AB58" s="97"/>
      <x:c r="AC58" s="97"/>
    </x:row>
    <x:row r="59">
      <x:c r="A59" s="98" t="str">
        <x:v>Status: hipótese pré-calibração. O quadro GERAL resume o total bruto e não substitui a análise por área. Consulte a aba Premissas antes de usar os valores em relatórios.</x:v>
      </x:c>
      <x:c r="B59" s="98"/>
      <x:c r="C59" s="98"/>
      <x:c r="D59" s="98"/>
      <x:c r="E59" s="98"/>
      <x:c r="F59" s="98"/>
      <x:c r="G59" s="98"/>
      <x:c r="H59" s="98"/>
      <x:c r="I59" s="98"/>
      <x:c r="J59" s="98"/>
      <x:c r="K59" s="98"/>
      <x:c r="L59" s="98"/>
      <x:c r="M59" s="98"/>
      <x:c r="N59" s="98"/>
      <x:c r="O59" s="98"/>
      <x:c r="P59" s="98"/>
      <x:c r="Q59" s="98"/>
      <x:c r="R59" s="98"/>
      <x:c r="S59" s="98"/>
      <x:c r="T59" s="98"/>
      <x:c r="U59" s="98"/>
      <x:c r="V59" s="98"/>
      <x:c r="W59" s="98"/>
      <x:c r="X59" s="98"/>
      <x:c r="Y59" s="98"/>
      <x:c r="Z59" s="98"/>
      <x:c r="AA59" s="98"/>
      <x:c r="AB59" s="98"/>
      <x:c r="AC59" s="98"/>
    </x:row>
  </x:sheetData>
  <x:mergeCells>
    <x:mergeCell ref="A1:AC1"/>
    <x:mergeCell ref="A2:AC2"/>
    <x:mergeCell ref="A3:E3"/>
    <x:mergeCell ref="G3:K3"/>
    <x:mergeCell ref="M3:Q3"/>
    <x:mergeCell ref="S3:W3"/>
    <x:mergeCell ref="Y3:AC3"/>
    <x:mergeCell ref="A58:AC58"/>
    <x:mergeCell ref="A59:AC5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7" max="7" width="9" hidden="0" customWidth="1"/>
    <x:col min="8" max="8" width="10" hidden="0" customWidth="1"/>
    <x:col min="9" max="9" width="12" hidden="0" customWidth="1"/>
    <x:col min="10" max="10" width="12" hidden="0" customWidth="1"/>
    <x:col min="11" max="11" width="12" hidden="0" customWidth="1"/>
    <x:col min="13" max="13" width="9" hidden="0" customWidth="1"/>
    <x:col min="14" max="14" width="10" hidden="0" customWidth="1"/>
    <x:col min="15" max="15" width="12" hidden="0" customWidth="1"/>
    <x:col min="16" max="16" width="12" hidden="0" customWidth="1"/>
    <x:col min="17" max="17" width="12" hidden="0" customWidth="1"/>
    <x:col min="19" max="19" width="9" hidden="0" customWidth="1"/>
    <x:col min="20" max="20" width="10" hidden="0" customWidth="1"/>
    <x:col min="21" max="21" width="12" hidden="0" customWidth="1"/>
    <x:col min="22" max="22" width="12" hidden="0" customWidth="1"/>
    <x:col min="23" max="23" width="12" hidden="0" customWidth="1"/>
    <x:col min="25" max="25" width="9" hidden="0" customWidth="1"/>
    <x:col min="26" max="26" width="10" hidden="0" customWidth="1"/>
    <x:col min="27" max="27" width="12" hidden="0" customWidth="1"/>
    <x:col min="28" max="28" width="12" hidden="0" customWidth="1"/>
    <x:col min="29" max="29" width="12" hidden="0" customWidth="1"/>
    <x:col min="6" max="6" width="2.5" hidden="0" customWidth="1"/>
    <x:col min="12" max="12" width="2.5" hidden="0" customWidth="1"/>
    <x:col min="18" max="18" width="2.5" hidden="0" customWidth="1"/>
    <x:col min="24" max="24" width="2.5" hidden="0" customWidth="1"/>
  </x:cols>
  <x:sheetData>
    <x:row r="1" ht="32" customHeight="1">
      <x:c r="A1" s="49" t="str">
        <x:v>TABELA DE REFERÊNCIA PROVISÓRIA — 9º ANO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  <x:c r="P1" s="49"/>
      <x:c r="Q1" s="49"/>
      <x:c r="R1" s="49"/>
      <x:c r="S1" s="49"/>
      <x:c r="T1" s="49"/>
      <x:c r="U1" s="49"/>
      <x:c r="V1" s="49"/>
      <x:c r="W1" s="49"/>
      <x:c r="X1" s="49"/>
      <x:c r="Y1" s="49"/>
      <x:c r="Z1" s="49"/>
      <x:c r="AA1" s="49"/>
      <x:c r="AB1" s="49"/>
      <x:c r="AC1" s="49"/>
    </x:row>
    <x:row r="2">
      <x:c r="A2" s="93" t="str">
        <x:v>Escala vertical comum 7º–9º | hipótese inicial sujeita a calibração e itens-âncora</x:v>
      </x:c>
      <x:c r="B2" s="93"/>
      <x:c r="C2" s="93"/>
      <x:c r="D2" s="93"/>
      <x:c r="E2" s="93"/>
      <x:c r="F2" s="93"/>
      <x:c r="G2" s="93"/>
      <x:c r="H2" s="93"/>
      <x:c r="I2" s="93"/>
      <x:c r="J2" s="93"/>
      <x:c r="K2" s="93"/>
      <x:c r="L2" s="93"/>
      <x:c r="M2" s="93"/>
      <x:c r="N2" s="93"/>
      <x:c r="O2" s="93"/>
      <x:c r="P2" s="93"/>
      <x:c r="Q2" s="93"/>
      <x:c r="R2" s="93"/>
      <x:c r="S2" s="93"/>
      <x:c r="T2" s="93"/>
      <x:c r="U2" s="93"/>
      <x:c r="V2" s="93"/>
      <x:c r="W2" s="93"/>
      <x:c r="X2" s="93"/>
      <x:c r="Y2" s="93"/>
      <x:c r="Z2" s="93"/>
      <x:c r="AA2" s="93"/>
      <x:c r="AB2" s="93"/>
      <x:c r="AC2" s="93"/>
    </x:row>
    <x:row r="3">
      <x:c r="A3" s="54" t="str">
        <x:v>GERAL — GERAL (TOTAL BRUTO) (60 ITENS)</x:v>
      </x:c>
      <x:c r="B3" s="54"/>
      <x:c r="C3" s="54"/>
      <x:c r="D3" s="54"/>
      <x:c r="E3" s="54"/>
      <x:c r="F3" s="53"/>
      <x:c r="G3" s="54" t="str">
        <x:v>LC — LINGUAGENS (20 ITENS)</x:v>
      </x:c>
      <x:c r="H3" s="54"/>
      <x:c r="I3" s="54"/>
      <x:c r="J3" s="54"/>
      <x:c r="K3" s="54"/>
      <x:c r="L3" s="53"/>
      <x:c r="M3" s="54" t="str">
        <x:v>MT — MATEMÁTICA (10 ITENS)</x:v>
      </x:c>
      <x:c r="N3" s="54"/>
      <x:c r="O3" s="54"/>
      <x:c r="P3" s="54"/>
      <x:c r="Q3" s="54"/>
      <x:c r="R3" s="53"/>
      <x:c r="S3" s="54" t="str">
        <x:v>CH — CIÊNCIAS HUMANAS (15 ITENS)</x:v>
      </x:c>
      <x:c r="T3" s="54"/>
      <x:c r="U3" s="54"/>
      <x:c r="V3" s="54"/>
      <x:c r="W3" s="54"/>
      <x:c r="X3" s="53"/>
      <x:c r="Y3" s="54" t="str">
        <x:v>CN — CIÊNCIAS DA NATUREZA (15 ITENS)</x:v>
      </x:c>
      <x:c r="Z3" s="54"/>
      <x:c r="AA3" s="54"/>
      <x:c r="AB3" s="54"/>
      <x:c r="AC3" s="54"/>
    </x:row>
    <x:row r="4">
      <x:c r="A4" s="94" t="str">
        <x:v>Área</x:v>
      </x:c>
      <x:c r="B4" s="94" t="str">
        <x:v>Acertos</x:v>
      </x:c>
      <x:c r="C4" s="94" t="str">
        <x:v>Mínimo</x:v>
      </x:c>
      <x:c r="D4" s="94" t="str">
        <x:v>Mediana</x:v>
      </x:c>
      <x:c r="E4" s="94" t="str">
        <x:v>Máximo</x:v>
      </x:c>
      <x:c r="F4" s="53"/>
      <x:c r="G4" s="94" t="str">
        <x:v>Área</x:v>
      </x:c>
      <x:c r="H4" s="94" t="str">
        <x:v>Acertos</x:v>
      </x:c>
      <x:c r="I4" s="94" t="str">
        <x:v>Mínimo</x:v>
      </x:c>
      <x:c r="J4" s="94" t="str">
        <x:v>Mediana</x:v>
      </x:c>
      <x:c r="K4" s="94" t="str">
        <x:v>Máximo</x:v>
      </x:c>
      <x:c r="L4" s="53"/>
      <x:c r="M4" s="94" t="str">
        <x:v>Área</x:v>
      </x:c>
      <x:c r="N4" s="94" t="str">
        <x:v>Acertos</x:v>
      </x:c>
      <x:c r="O4" s="94" t="str">
        <x:v>Mínimo</x:v>
      </x:c>
      <x:c r="P4" s="94" t="str">
        <x:v>Mediana</x:v>
      </x:c>
      <x:c r="Q4" s="94" t="str">
        <x:v>Máximo</x:v>
      </x:c>
      <x:c r="R4" s="53"/>
      <x:c r="S4" s="94" t="str">
        <x:v>Área</x:v>
      </x:c>
      <x:c r="T4" s="94" t="str">
        <x:v>Acertos</x:v>
      </x:c>
      <x:c r="U4" s="94" t="str">
        <x:v>Mínimo</x:v>
      </x:c>
      <x:c r="V4" s="94" t="str">
        <x:v>Mediana</x:v>
      </x:c>
      <x:c r="W4" s="94" t="str">
        <x:v>Máximo</x:v>
      </x:c>
      <x:c r="X4" s="53"/>
      <x:c r="Y4" s="94" t="str">
        <x:v>Área</x:v>
      </x:c>
      <x:c r="Z4" s="94" t="str">
        <x:v>Acertos</x:v>
      </x:c>
      <x:c r="AA4" s="94" t="str">
        <x:v>Mínimo</x:v>
      </x:c>
      <x:c r="AB4" s="94" t="str">
        <x:v>Mediana</x:v>
      </x:c>
      <x:c r="AC4" s="94" t="str">
        <x:v>Máximo</x:v>
      </x:c>
    </x:row>
    <x:row r="5">
      <x:c r="A5" s="56" t="str">
        <x:v>GERAL</x:v>
      </x:c>
      <x:c r="B5" s="95" t="n">
        <x:f>'Base longa'!G317</x:f>
        <x:v>0</x:v>
      </x:c>
      <x:c r="C5" s="57" t="n">
        <x:f>'Base longa'!K317</x:f>
        <x:v>200</x:v>
      </x:c>
      <x:c r="D5" s="57" t="n">
        <x:f>'Base longa'!L317</x:f>
        <x:v>200</x:v>
      </x:c>
      <x:c r="E5" s="57" t="n">
        <x:f>'Base longa'!M317</x:f>
        <x:v>200</x:v>
      </x:c>
      <x:c r="F5" s="53"/>
      <x:c r="G5" s="56" t="str">
        <x:v>LC</x:v>
      </x:c>
      <x:c r="H5" s="95" t="n">
        <x:f>'Base longa'!G378</x:f>
        <x:v>0</x:v>
      </x:c>
      <x:c r="I5" s="57" t="n">
        <x:f>'Base longa'!K378</x:f>
        <x:v>200</x:v>
      </x:c>
      <x:c r="J5" s="57" t="n">
        <x:f>'Base longa'!L378</x:f>
        <x:v>200</x:v>
      </x:c>
      <x:c r="K5" s="57" t="n">
        <x:f>'Base longa'!M378</x:f>
        <x:v>200</x:v>
      </x:c>
      <x:c r="L5" s="53"/>
      <x:c r="M5" s="56" t="str">
        <x:v>MT</x:v>
      </x:c>
      <x:c r="N5" s="95" t="n">
        <x:f>'Base longa'!G399</x:f>
        <x:v>0</x:v>
      </x:c>
      <x:c r="O5" s="57" t="n">
        <x:f>'Base longa'!K399</x:f>
        <x:v>200</x:v>
      </x:c>
      <x:c r="P5" s="57" t="n">
        <x:f>'Base longa'!L399</x:f>
        <x:v>200</x:v>
      </x:c>
      <x:c r="Q5" s="57" t="n">
        <x:f>'Base longa'!M399</x:f>
        <x:v>200</x:v>
      </x:c>
      <x:c r="R5" s="53"/>
      <x:c r="S5" s="56" t="str">
        <x:v>CH</x:v>
      </x:c>
      <x:c r="T5" s="95" t="n">
        <x:f>'Base longa'!G410</x:f>
        <x:v>0</x:v>
      </x:c>
      <x:c r="U5" s="57" t="n">
        <x:f>'Base longa'!K410</x:f>
        <x:v>200</x:v>
      </x:c>
      <x:c r="V5" s="57" t="n">
        <x:f>'Base longa'!L410</x:f>
        <x:v>200</x:v>
      </x:c>
      <x:c r="W5" s="57" t="n">
        <x:f>'Base longa'!M410</x:f>
        <x:v>200</x:v>
      </x:c>
      <x:c r="X5" s="53"/>
      <x:c r="Y5" s="56" t="str">
        <x:v>CN</x:v>
      </x:c>
      <x:c r="Z5" s="95" t="n">
        <x:f>'Base longa'!G426</x:f>
        <x:v>0</x:v>
      </x:c>
      <x:c r="AA5" s="57" t="n">
        <x:f>'Base longa'!K426</x:f>
        <x:v>200</x:v>
      </x:c>
      <x:c r="AB5" s="57" t="n">
        <x:f>'Base longa'!L426</x:f>
        <x:v>200</x:v>
      </x:c>
      <x:c r="AC5" s="57" t="n">
        <x:f>'Base longa'!M426</x:f>
        <x:v>200</x:v>
      </x:c>
    </x:row>
    <x:row r="6">
      <x:c r="A6" s="66" t="str">
        <x:v>GERAL</x:v>
      </x:c>
      <x:c r="B6" s="96" t="n">
        <x:f>'Base longa'!G318</x:f>
        <x:v>1</x:v>
      </x:c>
      <x:c r="C6" s="69" t="n">
        <x:f>'Base longa'!K318</x:f>
        <x:v>201.5</x:v>
      </x:c>
      <x:c r="D6" s="69" t="n">
        <x:f>'Base longa'!L318</x:f>
        <x:v>203.8</x:v>
      </x:c>
      <x:c r="E6" s="69" t="n">
        <x:f>'Base longa'!M318</x:f>
        <x:v>206.1</x:v>
      </x:c>
      <x:c r="F6" s="53"/>
      <x:c r="G6" s="66" t="str">
        <x:v>LC</x:v>
      </x:c>
      <x:c r="H6" s="96" t="n">
        <x:f>'Base longa'!G379</x:f>
        <x:v>1</x:v>
      </x:c>
      <x:c r="I6" s="69" t="n">
        <x:f>'Base longa'!K379</x:f>
        <x:v>202.5</x:v>
      </x:c>
      <x:c r="J6" s="69" t="n">
        <x:f>'Base longa'!L379</x:f>
        <x:v>213.9</x:v>
      </x:c>
      <x:c r="K6" s="69" t="n">
        <x:f>'Base longa'!M379</x:f>
        <x:v>225.3</x:v>
      </x:c>
      <x:c r="L6" s="53"/>
      <x:c r="M6" s="66" t="str">
        <x:v>MT</x:v>
      </x:c>
      <x:c r="N6" s="96" t="n">
        <x:f>'Base longa'!G400</x:f>
        <x:v>1</x:v>
      </x:c>
      <x:c r="O6" s="69" t="n">
        <x:f>'Base longa'!K400</x:f>
        <x:v>204.2</x:v>
      </x:c>
      <x:c r="P6" s="69" t="n">
        <x:f>'Base longa'!L400</x:f>
        <x:v>234.8</x:v>
      </x:c>
      <x:c r="Q6" s="69" t="n">
        <x:f>'Base longa'!M400</x:f>
        <x:v>265.4</x:v>
      </x:c>
      <x:c r="R6" s="53"/>
      <x:c r="S6" s="66" t="str">
        <x:v>CH</x:v>
      </x:c>
      <x:c r="T6" s="96" t="n">
        <x:f>'Base longa'!G411</x:f>
        <x:v>1</x:v>
      </x:c>
      <x:c r="U6" s="69" t="n">
        <x:f>'Base longa'!K411</x:f>
        <x:v>202.8</x:v>
      </x:c>
      <x:c r="V6" s="69" t="n">
        <x:f>'Base longa'!L411</x:f>
        <x:v>220.1</x:v>
      </x:c>
      <x:c r="W6" s="69" t="n">
        <x:f>'Base longa'!M411</x:f>
        <x:v>237.4</x:v>
      </x:c>
      <x:c r="X6" s="53"/>
      <x:c r="Y6" s="66" t="str">
        <x:v>CN</x:v>
      </x:c>
      <x:c r="Z6" s="96" t="n">
        <x:f>'Base longa'!G427</x:f>
        <x:v>1</x:v>
      </x:c>
      <x:c r="AA6" s="69" t="n">
        <x:f>'Base longa'!K427</x:f>
        <x:v>202.8</x:v>
      </x:c>
      <x:c r="AB6" s="69" t="n">
        <x:f>'Base longa'!L427</x:f>
        <x:v>220.1</x:v>
      </x:c>
      <x:c r="AC6" s="69" t="n">
        <x:f>'Base longa'!M427</x:f>
        <x:v>237.4</x:v>
      </x:c>
    </x:row>
    <x:row r="7">
      <x:c r="A7" s="56" t="str">
        <x:v>GERAL</x:v>
      </x:c>
      <x:c r="B7" s="95" t="n">
        <x:f>'Base longa'!G319</x:f>
        <x:v>2</x:v>
      </x:c>
      <x:c r="C7" s="57" t="n">
        <x:f>'Base longa'!K319</x:f>
        <x:v>203.9</x:v>
      </x:c>
      <x:c r="D7" s="57" t="n">
        <x:f>'Base longa'!L319</x:f>
        <x:v>208.4</x:v>
      </x:c>
      <x:c r="E7" s="57" t="n">
        <x:f>'Base longa'!M319</x:f>
        <x:v>212.9</x:v>
      </x:c>
      <x:c r="F7" s="53"/>
      <x:c r="G7" s="56" t="str">
        <x:v>LC</x:v>
      </x:c>
      <x:c r="H7" s="95" t="n">
        <x:f>'Base longa'!G380</x:f>
        <x:v>2</x:v>
      </x:c>
      <x:c r="I7" s="57" t="n">
        <x:f>'Base longa'!K380</x:f>
        <x:v>213.2</x:v>
      </x:c>
      <x:c r="J7" s="57" t="n">
        <x:f>'Base longa'!L380</x:f>
        <x:v>234.8</x:v>
      </x:c>
      <x:c r="K7" s="57" t="n">
        <x:f>'Base longa'!M380</x:f>
        <x:v>256.4</x:v>
      </x:c>
      <x:c r="L7" s="53"/>
      <x:c r="M7" s="56" t="str">
        <x:v>MT</x:v>
      </x:c>
      <x:c r="N7" s="95" t="n">
        <x:f>'Base longa'!G401</x:f>
        <x:v>2</x:v>
      </x:c>
      <x:c r="O7" s="57" t="n">
        <x:f>'Base longa'!K401</x:f>
        <x:v>240</x:v>
      </x:c>
      <x:c r="P7" s="57" t="n">
        <x:f>'Base longa'!L401</x:f>
        <x:v>294.4</x:v>
      </x:c>
      <x:c r="Q7" s="57" t="n">
        <x:f>'Base longa'!M401</x:f>
        <x:v>348.8</x:v>
      </x:c>
      <x:c r="R7" s="53"/>
      <x:c r="S7" s="56" t="str">
        <x:v>CH</x:v>
      </x:c>
      <x:c r="T7" s="95" t="n">
        <x:f>'Base longa'!G412</x:f>
        <x:v>2</x:v>
      </x:c>
      <x:c r="U7" s="57" t="n">
        <x:f>'Base longa'!K412</x:f>
        <x:v>220.2</x:v>
      </x:c>
      <x:c r="V7" s="57" t="n">
        <x:f>'Base longa'!L412</x:f>
        <x:v>252.3</x:v>
      </x:c>
      <x:c r="W7" s="57" t="n">
        <x:f>'Base longa'!M412</x:f>
        <x:v>284.4</x:v>
      </x:c>
      <x:c r="X7" s="53"/>
      <x:c r="Y7" s="56" t="str">
        <x:v>CN</x:v>
      </x:c>
      <x:c r="Z7" s="95" t="n">
        <x:f>'Base longa'!G428</x:f>
        <x:v>2</x:v>
      </x:c>
      <x:c r="AA7" s="57" t="n">
        <x:f>'Base longa'!K428</x:f>
        <x:v>220.2</x:v>
      </x:c>
      <x:c r="AB7" s="57" t="n">
        <x:f>'Base longa'!L428</x:f>
        <x:v>252.3</x:v>
      </x:c>
      <x:c r="AC7" s="57" t="n">
        <x:f>'Base longa'!M428</x:f>
        <x:v>284.4</x:v>
      </x:c>
    </x:row>
    <x:row r="8">
      <x:c r="A8" s="66" t="str">
        <x:v>GERAL</x:v>
      </x:c>
      <x:c r="B8" s="96" t="n">
        <x:f>'Base longa'!G320</x:f>
        <x:v>3</x:v>
      </x:c>
      <x:c r="C8" s="69" t="n">
        <x:f>'Base longa'!K320</x:f>
        <x:v>207.3</x:v>
      </x:c>
      <x:c r="D8" s="69" t="n">
        <x:f>'Base longa'!L320</x:f>
        <x:v>213.9</x:v>
      </x:c>
      <x:c r="E8" s="69" t="n">
        <x:f>'Base longa'!M320</x:f>
        <x:v>220.5</x:v>
      </x:c>
      <x:c r="F8" s="53"/>
      <x:c r="G8" s="66" t="str">
        <x:v>LC</x:v>
      </x:c>
      <x:c r="H8" s="96" t="n">
        <x:f>'Base longa'!G381</x:f>
        <x:v>3</x:v>
      </x:c>
      <x:c r="I8" s="69" t="n">
        <x:f>'Base longa'!K381</x:f>
        <x:v>231.3</x:v>
      </x:c>
      <x:c r="J8" s="69" t="n">
        <x:f>'Base longa'!L381</x:f>
        <x:v>262</x:v>
      </x:c>
      <x:c r="K8" s="69" t="n">
        <x:f>'Base longa'!M381</x:f>
        <x:v>292.7</x:v>
      </x:c>
      <x:c r="L8" s="53"/>
      <x:c r="M8" s="66" t="str">
        <x:v>MT</x:v>
      </x:c>
      <x:c r="N8" s="96" t="n">
        <x:f>'Base longa'!G402</x:f>
        <x:v>3</x:v>
      </x:c>
      <x:c r="O8" s="69" t="n">
        <x:f>'Base longa'!K402</x:f>
        <x:v>300.2</x:v>
      </x:c>
      <x:c r="P8" s="69" t="n">
        <x:f>'Base longa'!L402</x:f>
        <x:v>371.6</x:v>
      </x:c>
      <x:c r="Q8" s="69" t="n">
        <x:f>'Base longa'!M402</x:f>
        <x:v>443</x:v>
      </x:c>
      <x:c r="R8" s="53"/>
      <x:c r="S8" s="66" t="str">
        <x:v>CH</x:v>
      </x:c>
      <x:c r="T8" s="96" t="n">
        <x:f>'Base longa'!G413</x:f>
        <x:v>3</x:v>
      </x:c>
      <x:c r="U8" s="69" t="n">
        <x:f>'Base longa'!K413</x:f>
        <x:v>250</x:v>
      </x:c>
      <x:c r="V8" s="69" t="n">
        <x:f>'Base longa'!L413</x:f>
        <x:v>294.4</x:v>
      </x:c>
      <x:c r="W8" s="69" t="n">
        <x:f>'Base longa'!M413</x:f>
        <x:v>338.8</x:v>
      </x:c>
      <x:c r="X8" s="53"/>
      <x:c r="Y8" s="66" t="str">
        <x:v>CN</x:v>
      </x:c>
      <x:c r="Z8" s="96" t="n">
        <x:f>'Base longa'!G429</x:f>
        <x:v>3</x:v>
      </x:c>
      <x:c r="AA8" s="69" t="n">
        <x:f>'Base longa'!K429</x:f>
        <x:v>250</x:v>
      </x:c>
      <x:c r="AB8" s="69" t="n">
        <x:f>'Base longa'!L429</x:f>
        <x:v>294.4</x:v>
      </x:c>
      <x:c r="AC8" s="69" t="n">
        <x:f>'Base longa'!M429</x:f>
        <x:v>338.8</x:v>
      </x:c>
    </x:row>
    <x:row r="9">
      <x:c r="A9" s="56" t="str">
        <x:v>GERAL</x:v>
      </x:c>
      <x:c r="B9" s="95" t="n">
        <x:f>'Base longa'!G321</x:f>
        <x:v>4</x:v>
      </x:c>
      <x:c r="C9" s="57" t="n">
        <x:f>'Base longa'!K321</x:f>
        <x:v>211.5</x:v>
      </x:c>
      <x:c r="D9" s="57" t="n">
        <x:f>'Base longa'!L321</x:f>
        <x:v>220.1</x:v>
      </x:c>
      <x:c r="E9" s="57" t="n">
        <x:f>'Base longa'!M321</x:f>
        <x:v>228.7</x:v>
      </x:c>
      <x:c r="F9" s="53"/>
      <x:c r="G9" s="56" t="str">
        <x:v>LC</x:v>
      </x:c>
      <x:c r="H9" s="95" t="n">
        <x:f>'Base longa'!G382</x:f>
        <x:v>4</x:v>
      </x:c>
      <x:c r="I9" s="57" t="n">
        <x:f>'Base longa'!K382</x:f>
        <x:v>255.9</x:v>
      </x:c>
      <x:c r="J9" s="57" t="n">
        <x:f>'Base longa'!L382</x:f>
        <x:v>294.4</x:v>
      </x:c>
      <x:c r="K9" s="57" t="n">
        <x:f>'Base longa'!M382</x:f>
        <x:v>332.9</x:v>
      </x:c>
      <x:c r="L9" s="53"/>
      <x:c r="M9" s="56" t="str">
        <x:v>MT</x:v>
      </x:c>
      <x:c r="N9" s="95" t="n">
        <x:f>'Base longa'!G403</x:f>
        <x:v>4</x:v>
      </x:c>
      <x:c r="O9" s="57" t="n">
        <x:f>'Base longa'!K403</x:f>
        <x:v>377.6</x:v>
      </x:c>
      <x:c r="P9" s="57" t="n">
        <x:f>'Base longa'!L403</x:f>
        <x:v>459.2</x:v>
      </x:c>
      <x:c r="Q9" s="57" t="n">
        <x:f>'Base longa'!M403</x:f>
        <x:v>540.8</x:v>
      </x:c>
      <x:c r="R9" s="53"/>
      <x:c r="S9" s="56" t="str">
        <x:v>CH</x:v>
      </x:c>
      <x:c r="T9" s="95" t="n">
        <x:f>'Base longa'!G414</x:f>
        <x:v>4</x:v>
      </x:c>
      <x:c r="U9" s="57" t="n">
        <x:f>'Base longa'!K414</x:f>
        <x:v>290.1</x:v>
      </x:c>
      <x:c r="V9" s="57" t="n">
        <x:f>'Base longa'!L414</x:f>
        <x:v>344.4</x:v>
      </x:c>
      <x:c r="W9" s="57" t="n">
        <x:f>'Base longa'!M414</x:f>
        <x:v>398.7</x:v>
      </x:c>
      <x:c r="X9" s="53"/>
      <x:c r="Y9" s="56" t="str">
        <x:v>CN</x:v>
      </x:c>
      <x:c r="Z9" s="95" t="n">
        <x:f>'Base longa'!G430</x:f>
        <x:v>4</x:v>
      </x:c>
      <x:c r="AA9" s="57" t="n">
        <x:f>'Base longa'!K430</x:f>
        <x:v>290.1</x:v>
      </x:c>
      <x:c r="AB9" s="57" t="n">
        <x:f>'Base longa'!L430</x:f>
        <x:v>344.4</x:v>
      </x:c>
      <x:c r="AC9" s="57" t="n">
        <x:f>'Base longa'!M430</x:f>
        <x:v>398.7</x:v>
      </x:c>
    </x:row>
    <x:row r="10">
      <x:c r="A10" s="66" t="str">
        <x:v>GERAL</x:v>
      </x:c>
      <x:c r="B10" s="96" t="n">
        <x:f>'Base longa'!G322</x:f>
        <x:v>5</x:v>
      </x:c>
      <x:c r="C10" s="69" t="n">
        <x:f>'Base longa'!K322</x:f>
        <x:v>216.5</x:v>
      </x:c>
      <x:c r="D10" s="69" t="n">
        <x:f>'Base longa'!L322</x:f>
        <x:v>227.1</x:v>
      </x:c>
      <x:c r="E10" s="69" t="n">
        <x:f>'Base longa'!M322</x:f>
        <x:v>237.7</x:v>
      </x:c>
      <x:c r="F10" s="53"/>
      <x:c r="G10" s="66" t="str">
        <x:v>LC</x:v>
      </x:c>
      <x:c r="H10" s="96" t="n">
        <x:f>'Base longa'!G383</x:f>
        <x:v>5</x:v>
      </x:c>
      <x:c r="I10" s="69" t="n">
        <x:f>'Base longa'!K383</x:f>
        <x:v>286.2</x:v>
      </x:c>
      <x:c r="J10" s="69" t="n">
        <x:f>'Base longa'!L383</x:f>
        <x:v>331.3</x:v>
      </x:c>
      <x:c r="K10" s="69" t="n">
        <x:f>'Base longa'!M383</x:f>
        <x:v>376.4</x:v>
      </x:c>
      <x:c r="L10" s="53"/>
      <x:c r="M10" s="66" t="str">
        <x:v>MT</x:v>
      </x:c>
      <x:c r="N10" s="96" t="n">
        <x:f>'Base longa'!G404</x:f>
        <x:v>5</x:v>
      </x:c>
      <x:c r="O10" s="69" t="n">
        <x:f>'Base longa'!K404</x:f>
        <x:v>465</x:v>
      </x:c>
      <x:c r="P10" s="69" t="n">
        <x:f>'Base longa'!L404</x:f>
        <x:v>550</x:v>
      </x:c>
      <x:c r="Q10" s="69" t="n">
        <x:f>'Base longa'!M404</x:f>
        <x:v>635</x:v>
      </x:c>
      <x:c r="R10" s="53"/>
      <x:c r="S10" s="66" t="str">
        <x:v>CH</x:v>
      </x:c>
      <x:c r="T10" s="96" t="n">
        <x:f>'Base longa'!G415</x:f>
        <x:v>5</x:v>
      </x:c>
      <x:c r="U10" s="69" t="n">
        <x:f>'Base longa'!K415</x:f>
        <x:v>338.3</x:v>
      </x:c>
      <x:c r="V10" s="69" t="n">
        <x:f>'Base longa'!L415</x:f>
        <x:v>400</x:v>
      </x:c>
      <x:c r="W10" s="69" t="n">
        <x:f>'Base longa'!M415</x:f>
        <x:v>461.7</x:v>
      </x:c>
      <x:c r="X10" s="53"/>
      <x:c r="Y10" s="66" t="str">
        <x:v>CN</x:v>
      </x:c>
      <x:c r="Z10" s="96" t="n">
        <x:f>'Base longa'!G431</x:f>
        <x:v>5</x:v>
      </x:c>
      <x:c r="AA10" s="69" t="n">
        <x:f>'Base longa'!K431</x:f>
        <x:v>338.3</x:v>
      </x:c>
      <x:c r="AB10" s="69" t="n">
        <x:f>'Base longa'!L431</x:f>
        <x:v>400</x:v>
      </x:c>
      <x:c r="AC10" s="69" t="n">
        <x:f>'Base longa'!M431</x:f>
        <x:v>461.7</x:v>
      </x:c>
    </x:row>
    <x:row r="11">
      <x:c r="A11" s="56" t="str">
        <x:v>GERAL</x:v>
      </x:c>
      <x:c r="B11" s="95" t="n">
        <x:f>'Base longa'!G323</x:f>
        <x:v>6</x:v>
      </x:c>
      <x:c r="C11" s="57" t="n">
        <x:f>'Base longa'!K323</x:f>
        <x:v>222.3</x:v>
      </x:c>
      <x:c r="D11" s="57" t="n">
        <x:f>'Base longa'!L323</x:f>
        <x:v>234.8</x:v>
      </x:c>
      <x:c r="E11" s="57" t="n">
        <x:f>'Base longa'!M323</x:f>
        <x:v>247.3</x:v>
      </x:c>
      <x:c r="F11" s="53"/>
      <x:c r="G11" s="56" t="str">
        <x:v>LC</x:v>
      </x:c>
      <x:c r="H11" s="95" t="n">
        <x:f>'Base longa'!G384</x:f>
        <x:v>6</x:v>
      </x:c>
      <x:c r="I11" s="57" t="n">
        <x:f>'Base longa'!K384</x:f>
        <x:v>321.1</x:v>
      </x:c>
      <x:c r="J11" s="57" t="n">
        <x:f>'Base longa'!L384</x:f>
        <x:v>371.6</x:v>
      </x:c>
      <x:c r="K11" s="57" t="n">
        <x:f>'Base longa'!M384</x:f>
        <x:v>422.1</x:v>
      </x:c>
      <x:c r="L11" s="53"/>
      <x:c r="M11" s="56" t="str">
        <x:v>MT</x:v>
      </x:c>
      <x:c r="N11" s="95" t="n">
        <x:f>'Base longa'!G405</x:f>
        <x:v>6</x:v>
      </x:c>
      <x:c r="O11" s="57" t="n">
        <x:f>'Base longa'!K405</x:f>
        <x:v>555.2</x:v>
      </x:c>
      <x:c r="P11" s="57" t="n">
        <x:f>'Base longa'!L405</x:f>
        <x:v>636.8</x:v>
      </x:c>
      <x:c r="Q11" s="57" t="n">
        <x:f>'Base longa'!M405</x:f>
        <x:v>718.4</x:v>
      </x:c>
      <x:c r="R11" s="53"/>
      <x:c r="S11" s="56" t="str">
        <x:v>CH</x:v>
      </x:c>
      <x:c r="T11" s="95" t="n">
        <x:f>'Base longa'!G416</x:f>
        <x:v>6</x:v>
      </x:c>
      <x:c r="U11" s="57" t="n">
        <x:f>'Base longa'!K416</x:f>
        <x:v>392.6</x:v>
      </x:c>
      <x:c r="V11" s="57" t="n">
        <x:f>'Base longa'!L416</x:f>
        <x:v>459.2</x:v>
      </x:c>
      <x:c r="W11" s="57" t="n">
        <x:f>'Base longa'!M416</x:f>
        <x:v>525.8</x:v>
      </x:c>
      <x:c r="X11" s="53"/>
      <x:c r="Y11" s="56" t="str">
        <x:v>CN</x:v>
      </x:c>
      <x:c r="Z11" s="95" t="n">
        <x:f>'Base longa'!G432</x:f>
        <x:v>6</x:v>
      </x:c>
      <x:c r="AA11" s="57" t="n">
        <x:f>'Base longa'!K432</x:f>
        <x:v>392.6</x:v>
      </x:c>
      <x:c r="AB11" s="57" t="n">
        <x:f>'Base longa'!L432</x:f>
        <x:v>459.2</x:v>
      </x:c>
      <x:c r="AC11" s="57" t="n">
        <x:f>'Base longa'!M432</x:f>
        <x:v>525.8</x:v>
      </x:c>
    </x:row>
    <x:row r="12">
      <x:c r="A12" s="66" t="str">
        <x:v>GERAL</x:v>
      </x:c>
      <x:c r="B12" s="96" t="n">
        <x:f>'Base longa'!G324</x:f>
        <x:v>7</x:v>
      </x:c>
      <x:c r="C12" s="69" t="n">
        <x:f>'Base longa'!K324</x:f>
        <x:v>228.9</x:v>
      </x:c>
      <x:c r="D12" s="69" t="n">
        <x:f>'Base longa'!L324</x:f>
        <x:v>243.2</x:v>
      </x:c>
      <x:c r="E12" s="69" t="n">
        <x:f>'Base longa'!M324</x:f>
        <x:v>257.5</x:v>
      </x:c>
      <x:c r="F12" s="53"/>
      <x:c r="G12" s="66" t="str">
        <x:v>LC</x:v>
      </x:c>
      <x:c r="H12" s="96" t="n">
        <x:f>'Base longa'!G385</x:f>
        <x:v>7</x:v>
      </x:c>
      <x:c r="I12" s="69" t="n">
        <x:f>'Base longa'!K385</x:f>
        <x:v>359.9</x:v>
      </x:c>
      <x:c r="J12" s="69" t="n">
        <x:f>'Base longa'!L385</x:f>
        <x:v>414.6</x:v>
      </x:c>
      <x:c r="K12" s="69" t="n">
        <x:f>'Base longa'!M385</x:f>
        <x:v>469.3</x:v>
      </x:c>
      <x:c r="L12" s="53"/>
      <x:c r="M12" s="66" t="str">
        <x:v>MT</x:v>
      </x:c>
      <x:c r="N12" s="96" t="n">
        <x:f>'Base longa'!G406</x:f>
        <x:v>7</x:v>
      </x:c>
      <x:c r="O12" s="69" t="n">
        <x:f>'Base longa'!K406</x:f>
        <x:v>641</x:v>
      </x:c>
      <x:c r="P12" s="69" t="n">
        <x:f>'Base longa'!L406</x:f>
        <x:v>712.4</x:v>
      </x:c>
      <x:c r="Q12" s="69" t="n">
        <x:f>'Base longa'!M406</x:f>
        <x:v>783.8</x:v>
      </x:c>
      <x:c r="R12" s="53"/>
      <x:c r="S12" s="66" t="str">
        <x:v>CH</x:v>
      </x:c>
      <x:c r="T12" s="96" t="n">
        <x:f>'Base longa'!G417</x:f>
        <x:v>7</x:v>
      </x:c>
      <x:c r="U12" s="69" t="n">
        <x:f>'Base longa'!K417</x:f>
        <x:v>450.7</x:v>
      </x:c>
      <x:c r="V12" s="69" t="n">
        <x:f>'Base longa'!L417</x:f>
        <x:v>519.8</x:v>
      </x:c>
      <x:c r="W12" s="69" t="n">
        <x:f>'Base longa'!M417</x:f>
        <x:v>588.9</x:v>
      </x:c>
      <x:c r="X12" s="53"/>
      <x:c r="Y12" s="66" t="str">
        <x:v>CN</x:v>
      </x:c>
      <x:c r="Z12" s="96" t="n">
        <x:f>'Base longa'!G433</x:f>
        <x:v>7</x:v>
      </x:c>
      <x:c r="AA12" s="69" t="n">
        <x:f>'Base longa'!K433</x:f>
        <x:v>450.7</x:v>
      </x:c>
      <x:c r="AB12" s="69" t="n">
        <x:f>'Base longa'!L433</x:f>
        <x:v>519.8</x:v>
      </x:c>
      <x:c r="AC12" s="69" t="n">
        <x:f>'Base longa'!M433</x:f>
        <x:v>588.9</x:v>
      </x:c>
    </x:row>
    <x:row r="13">
      <x:c r="A13" s="56" t="str">
        <x:v>GERAL</x:v>
      </x:c>
      <x:c r="B13" s="95" t="n">
        <x:f>'Base longa'!G325</x:f>
        <x:v>8</x:v>
      </x:c>
      <x:c r="C13" s="57" t="n">
        <x:f>'Base longa'!K325</x:f>
        <x:v>236.3</x:v>
      </x:c>
      <x:c r="D13" s="57" t="n">
        <x:f>'Base longa'!L325</x:f>
        <x:v>252.3</x:v>
      </x:c>
      <x:c r="E13" s="57" t="n">
        <x:f>'Base longa'!M325</x:f>
        <x:v>268.3</x:v>
      </x:c>
      <x:c r="F13" s="53"/>
      <x:c r="G13" s="56" t="str">
        <x:v>LC</x:v>
      </x:c>
      <x:c r="H13" s="95" t="n">
        <x:f>'Base longa'!G386</x:f>
        <x:v>8</x:v>
      </x:c>
      <x:c r="I13" s="57" t="n">
        <x:f>'Base longa'!K386</x:f>
        <x:v>401.5</x:v>
      </x:c>
      <x:c r="J13" s="57" t="n">
        <x:f>'Base longa'!L386</x:f>
        <x:v>459.2</x:v>
      </x:c>
      <x:c r="K13" s="57" t="n">
        <x:f>'Base longa'!M386</x:f>
        <x:v>516.9</x:v>
      </x:c>
      <x:c r="L13" s="53"/>
      <x:c r="M13" s="56" t="str">
        <x:v>MT</x:v>
      </x:c>
      <x:c r="N13" s="95" t="n">
        <x:f>'Base longa'!G407</x:f>
        <x:v>8</x:v>
      </x:c>
      <x:c r="O13" s="57" t="n">
        <x:f>'Base longa'!K407</x:f>
        <x:v>715.2</x:v>
      </x:c>
      <x:c r="P13" s="57" t="n">
        <x:f>'Base longa'!L407</x:f>
        <x:v>769.6</x:v>
      </x:c>
      <x:c r="Q13" s="57" t="n">
        <x:f>'Base longa'!M407</x:f>
        <x:v>800</x:v>
      </x:c>
      <x:c r="R13" s="53"/>
      <x:c r="S13" s="56" t="str">
        <x:v>CH</x:v>
      </x:c>
      <x:c r="T13" s="95" t="n">
        <x:f>'Base longa'!G418</x:f>
        <x:v>8</x:v>
      </x:c>
      <x:c r="U13" s="57" t="n">
        <x:f>'Base longa'!K418</x:f>
        <x:v>510.6</x:v>
      </x:c>
      <x:c r="V13" s="57" t="n">
        <x:f>'Base longa'!L418</x:f>
        <x:v>579.7</x:v>
      </x:c>
      <x:c r="W13" s="57" t="n">
        <x:f>'Base longa'!M418</x:f>
        <x:v>648.8</x:v>
      </x:c>
      <x:c r="X13" s="53"/>
      <x:c r="Y13" s="56" t="str">
        <x:v>CN</x:v>
      </x:c>
      <x:c r="Z13" s="95" t="n">
        <x:f>'Base longa'!G434</x:f>
        <x:v>8</x:v>
      </x:c>
      <x:c r="AA13" s="57" t="n">
        <x:f>'Base longa'!K434</x:f>
        <x:v>510.6</x:v>
      </x:c>
      <x:c r="AB13" s="57" t="n">
        <x:f>'Base longa'!L434</x:f>
        <x:v>579.7</x:v>
      </x:c>
      <x:c r="AC13" s="57" t="n">
        <x:f>'Base longa'!M434</x:f>
        <x:v>648.8</x:v>
      </x:c>
    </x:row>
    <x:row r="14">
      <x:c r="A14" s="66" t="str">
        <x:v>GERAL</x:v>
      </x:c>
      <x:c r="B14" s="96" t="n">
        <x:f>'Base longa'!G326</x:f>
        <x:v>9</x:v>
      </x:c>
      <x:c r="C14" s="69" t="n">
        <x:f>'Base longa'!K326</x:f>
        <x:v>244.3</x:v>
      </x:c>
      <x:c r="D14" s="69" t="n">
        <x:f>'Base longa'!L326</x:f>
        <x:v>262</x:v>
      </x:c>
      <x:c r="E14" s="69" t="n">
        <x:f>'Base longa'!M326</x:f>
        <x:v>279.7</x:v>
      </x:c>
      <x:c r="F14" s="53"/>
      <x:c r="G14" s="66" t="str">
        <x:v>LC</x:v>
      </x:c>
      <x:c r="H14" s="96" t="n">
        <x:f>'Base longa'!G387</x:f>
        <x:v>9</x:v>
      </x:c>
      <x:c r="I14" s="69" t="n">
        <x:f>'Base longa'!K387</x:f>
        <x:v>445.2</x:v>
      </x:c>
      <x:c r="J14" s="69" t="n">
        <x:f>'Base longa'!L387</x:f>
        <x:v>504.7</x:v>
      </x:c>
      <x:c r="K14" s="69" t="n">
        <x:f>'Base longa'!M387</x:f>
        <x:v>564.2</x:v>
      </x:c>
      <x:c r="L14" s="53"/>
      <x:c r="M14" s="66" t="str">
        <x:v>MT</x:v>
      </x:c>
      <x:c r="N14" s="96" t="n">
        <x:f>'Base longa'!G408</x:f>
        <x:v>9</x:v>
      </x:c>
      <x:c r="O14" s="69" t="n">
        <x:f>'Base longa'!K408</x:f>
        <x:v>769.4</x:v>
      </x:c>
      <x:c r="P14" s="69" t="n">
        <x:f>'Base longa'!L408</x:f>
        <x:v>800</x:v>
      </x:c>
      <x:c r="Q14" s="69" t="n">
        <x:f>'Base longa'!M408</x:f>
        <x:v>800</x:v>
      </x:c>
      <x:c r="R14" s="53"/>
      <x:c r="S14" s="66" t="str">
        <x:v>CH</x:v>
      </x:c>
      <x:c r="T14" s="96" t="n">
        <x:f>'Base longa'!G419</x:f>
        <x:v>9</x:v>
      </x:c>
      <x:c r="U14" s="69" t="n">
        <x:f>'Base longa'!K419</x:f>
        <x:v>570.2</x:v>
      </x:c>
      <x:c r="V14" s="69" t="n">
        <x:f>'Base longa'!L419</x:f>
        <x:v>636.8</x:v>
      </x:c>
      <x:c r="W14" s="69" t="n">
        <x:f>'Base longa'!M419</x:f>
        <x:v>703.4</x:v>
      </x:c>
      <x:c r="X14" s="53"/>
      <x:c r="Y14" s="66" t="str">
        <x:v>CN</x:v>
      </x:c>
      <x:c r="Z14" s="96" t="n">
        <x:f>'Base longa'!G435</x:f>
        <x:v>9</x:v>
      </x:c>
      <x:c r="AA14" s="69" t="n">
        <x:f>'Base longa'!K435</x:f>
        <x:v>570.2</x:v>
      </x:c>
      <x:c r="AB14" s="69" t="n">
        <x:f>'Base longa'!L435</x:f>
        <x:v>636.8</x:v>
      </x:c>
      <x:c r="AC14" s="69" t="n">
        <x:f>'Base longa'!M435</x:f>
        <x:v>703.4</x:v>
      </x:c>
    </x:row>
    <x:row r="15">
      <x:c r="A15" s="56" t="str">
        <x:v>GERAL</x:v>
      </x:c>
      <x:c r="B15" s="95" t="n">
        <x:f>'Base longa'!G327</x:f>
        <x:v>10</x:v>
      </x:c>
      <x:c r="C15" s="57" t="n">
        <x:f>'Base longa'!K327</x:f>
        <x:v>252.9</x:v>
      </x:c>
      <x:c r="D15" s="57" t="n">
        <x:f>'Base longa'!L327</x:f>
        <x:v>272.2</x:v>
      </x:c>
      <x:c r="E15" s="57" t="n">
        <x:f>'Base longa'!M327</x:f>
        <x:v>291.5</x:v>
      </x:c>
      <x:c r="F15" s="53"/>
      <x:c r="G15" s="56" t="str">
        <x:v>LC</x:v>
      </x:c>
      <x:c r="H15" s="95" t="n">
        <x:f>'Base longa'!G388</x:f>
        <x:v>10</x:v>
      </x:c>
      <x:c r="I15" s="57" t="n">
        <x:f>'Base longa'!K388</x:f>
        <x:v>489.9</x:v>
      </x:c>
      <x:c r="J15" s="57" t="n">
        <x:f>'Base longa'!L388</x:f>
        <x:v>550</x:v>
      </x:c>
      <x:c r="K15" s="57" t="n">
        <x:f>'Base longa'!M388</x:f>
        <x:v>610.1</x:v>
      </x:c>
      <x:c r="L15" s="53"/>
      <x:c r="M15" s="56" t="str">
        <x:v>MT</x:v>
      </x:c>
      <x:c r="N15" s="95" t="n">
        <x:f>'Base longa'!G409</x:f>
        <x:v>10</x:v>
      </x:c>
      <x:c r="O15" s="57" t="n">
        <x:f>'Base longa'!K409</x:f>
        <x:v>800</x:v>
      </x:c>
      <x:c r="P15" s="57" t="n">
        <x:f>'Base longa'!L409</x:f>
        <x:v>800</x:v>
      </x:c>
      <x:c r="Q15" s="57" t="n">
        <x:f>'Base longa'!M409</x:f>
        <x:v>800</x:v>
      </x:c>
      <x:c r="R15" s="53"/>
      <x:c r="S15" s="56" t="str">
        <x:v>CH</x:v>
      </x:c>
      <x:c r="T15" s="95" t="n">
        <x:f>'Base longa'!G420</x:f>
        <x:v>10</x:v>
      </x:c>
      <x:c r="U15" s="57" t="n">
        <x:f>'Base longa'!K420</x:f>
        <x:v>627.2</x:v>
      </x:c>
      <x:c r="V15" s="57" t="n">
        <x:f>'Base longa'!L420</x:f>
        <x:v>688.9</x:v>
      </x:c>
      <x:c r="W15" s="57" t="n">
        <x:f>'Base longa'!M420</x:f>
        <x:v>750.6</x:v>
      </x:c>
      <x:c r="X15" s="53"/>
      <x:c r="Y15" s="56" t="str">
        <x:v>CN</x:v>
      </x:c>
      <x:c r="Z15" s="95" t="n">
        <x:f>'Base longa'!G436</x:f>
        <x:v>10</x:v>
      </x:c>
      <x:c r="AA15" s="57" t="n">
        <x:f>'Base longa'!K436</x:f>
        <x:v>627.2</x:v>
      </x:c>
      <x:c r="AB15" s="57" t="n">
        <x:f>'Base longa'!L436</x:f>
        <x:v>688.9</x:v>
      </x:c>
      <x:c r="AC15" s="57" t="n">
        <x:f>'Base longa'!M436</x:f>
        <x:v>750.6</x:v>
      </x:c>
    </x:row>
    <x:row r="16">
      <x:c r="A16" s="66" t="str">
        <x:v>GERAL</x:v>
      </x:c>
      <x:c r="B16" s="96" t="n">
        <x:f>'Base longa'!G328</x:f>
        <x:v>11</x:v>
      </x:c>
      <x:c r="C16" s="69" t="n">
        <x:f>'Base longa'!K328</x:f>
        <x:v>262.3</x:v>
      </x:c>
      <x:c r="D16" s="69" t="n">
        <x:f>'Base longa'!L328</x:f>
        <x:v>283.1</x:v>
      </x:c>
      <x:c r="E16" s="69" t="n">
        <x:f>'Base longa'!M328</x:f>
        <x:v>303.9</x:v>
      </x:c>
      <x:c r="F16" s="53"/>
      <x:c r="G16" s="66" t="str">
        <x:v>LC</x:v>
      </x:c>
      <x:c r="H16" s="96" t="n">
        <x:f>'Base longa'!G389</x:f>
        <x:v>11</x:v>
      </x:c>
      <x:c r="I16" s="69" t="n">
        <x:f>'Base longa'!K389</x:f>
        <x:v>534.9</x:v>
      </x:c>
      <x:c r="J16" s="69" t="n">
        <x:f>'Base longa'!L389</x:f>
        <x:v>594.4</x:v>
      </x:c>
      <x:c r="K16" s="69" t="n">
        <x:f>'Base longa'!M389</x:f>
        <x:v>653.9</x:v>
      </x:c>
      <x:c r="L16" s="53"/>
      <x:c r="M16" s="66"/>
      <x:c r="N16" s="96"/>
      <x:c r="O16" s="69"/>
      <x:c r="P16" s="69"/>
      <x:c r="Q16" s="69"/>
      <x:c r="R16" s="53"/>
      <x:c r="S16" s="66" t="str">
        <x:v>CH</x:v>
      </x:c>
      <x:c r="T16" s="96" t="n">
        <x:f>'Base longa'!G421</x:f>
        <x:v>11</x:v>
      </x:c>
      <x:c r="U16" s="69" t="n">
        <x:f>'Base longa'!K421</x:f>
        <x:v>679.6</x:v>
      </x:c>
      <x:c r="V16" s="69" t="n">
        <x:f>'Base longa'!L421</x:f>
        <x:v>733.9</x:v>
      </x:c>
      <x:c r="W16" s="69" t="n">
        <x:f>'Base longa'!M421</x:f>
        <x:v>788.2</x:v>
      </x:c>
      <x:c r="X16" s="53"/>
      <x:c r="Y16" s="66" t="str">
        <x:v>CN</x:v>
      </x:c>
      <x:c r="Z16" s="96" t="n">
        <x:f>'Base longa'!G437</x:f>
        <x:v>11</x:v>
      </x:c>
      <x:c r="AA16" s="69" t="n">
        <x:f>'Base longa'!K437</x:f>
        <x:v>679.6</x:v>
      </x:c>
      <x:c r="AB16" s="69" t="n">
        <x:f>'Base longa'!L437</x:f>
        <x:v>733.9</x:v>
      </x:c>
      <x:c r="AC16" s="69" t="n">
        <x:f>'Base longa'!M437</x:f>
        <x:v>788.2</x:v>
      </x:c>
    </x:row>
    <x:row r="17">
      <x:c r="A17" s="56" t="str">
        <x:v>GERAL</x:v>
      </x:c>
      <x:c r="B17" s="95" t="n">
        <x:f>'Base longa'!G329</x:f>
        <x:v>12</x:v>
      </x:c>
      <x:c r="C17" s="57" t="n">
        <x:f>'Base longa'!K329</x:f>
        <x:v>272.2</x:v>
      </x:c>
      <x:c r="D17" s="57" t="n">
        <x:f>'Base longa'!L329</x:f>
        <x:v>294.4</x:v>
      </x:c>
      <x:c r="E17" s="57" t="n">
        <x:f>'Base longa'!M329</x:f>
        <x:v>316.6</x:v>
      </x:c>
      <x:c r="F17" s="53"/>
      <x:c r="G17" s="56" t="str">
        <x:v>LC</x:v>
      </x:c>
      <x:c r="H17" s="95" t="n">
        <x:f>'Base longa'!G390</x:f>
        <x:v>12</x:v>
      </x:c>
      <x:c r="I17" s="57" t="n">
        <x:f>'Base longa'!K390</x:f>
        <x:v>579.1</x:v>
      </x:c>
      <x:c r="J17" s="57" t="n">
        <x:f>'Base longa'!L390</x:f>
        <x:v>636.8</x:v>
      </x:c>
      <x:c r="K17" s="57" t="n">
        <x:f>'Base longa'!M390</x:f>
        <x:v>694.5</x:v>
      </x:c>
      <x:c r="L17" s="53"/>
      <x:c r="M17" s="56"/>
      <x:c r="N17" s="95"/>
      <x:c r="O17" s="57"/>
      <x:c r="P17" s="57"/>
      <x:c r="Q17" s="57"/>
      <x:c r="R17" s="53"/>
      <x:c r="S17" s="56" t="str">
        <x:v>CH</x:v>
      </x:c>
      <x:c r="T17" s="95" t="n">
        <x:f>'Base longa'!G422</x:f>
        <x:v>12</x:v>
      </x:c>
      <x:c r="U17" s="57" t="n">
        <x:f>'Base longa'!K422</x:f>
        <x:v>725.2</x:v>
      </x:c>
      <x:c r="V17" s="57" t="n">
        <x:f>'Base longa'!L422</x:f>
        <x:v>769.6</x:v>
      </x:c>
      <x:c r="W17" s="57" t="n">
        <x:f>'Base longa'!M422</x:f>
        <x:v>800</x:v>
      </x:c>
      <x:c r="X17" s="53"/>
      <x:c r="Y17" s="56" t="str">
        <x:v>CN</x:v>
      </x:c>
      <x:c r="Z17" s="95" t="n">
        <x:f>'Base longa'!G438</x:f>
        <x:v>12</x:v>
      </x:c>
      <x:c r="AA17" s="57" t="n">
        <x:f>'Base longa'!K438</x:f>
        <x:v>725.2</x:v>
      </x:c>
      <x:c r="AB17" s="57" t="n">
        <x:f>'Base longa'!L438</x:f>
        <x:v>769.6</x:v>
      </x:c>
      <x:c r="AC17" s="57" t="n">
        <x:f>'Base longa'!M438</x:f>
        <x:v>800</x:v>
      </x:c>
    </x:row>
    <x:row r="18">
      <x:c r="A18" s="66" t="str">
        <x:v>GERAL</x:v>
      </x:c>
      <x:c r="B18" s="96" t="n">
        <x:f>'Base longa'!G330</x:f>
        <x:v>13</x:v>
      </x:c>
      <x:c r="C18" s="69" t="n">
        <x:f>'Base longa'!K330</x:f>
        <x:v>282.6</x:v>
      </x:c>
      <x:c r="D18" s="69" t="n">
        <x:f>'Base longa'!L330</x:f>
        <x:v>306.2</x:v>
      </x:c>
      <x:c r="E18" s="69" t="n">
        <x:f>'Base longa'!M330</x:f>
        <x:v>329.8</x:v>
      </x:c>
      <x:c r="F18" s="53"/>
      <x:c r="G18" s="66" t="str">
        <x:v>LC</x:v>
      </x:c>
      <x:c r="H18" s="96" t="n">
        <x:f>'Base longa'!G391</x:f>
        <x:v>13</x:v>
      </x:c>
      <x:c r="I18" s="69" t="n">
        <x:f>'Base longa'!K391</x:f>
        <x:v>621.8</x:v>
      </x:c>
      <x:c r="J18" s="69" t="n">
        <x:f>'Base longa'!L391</x:f>
        <x:v>676.5</x:v>
      </x:c>
      <x:c r="K18" s="69" t="n">
        <x:f>'Base longa'!M391</x:f>
        <x:v>731.2</x:v>
      </x:c>
      <x:c r="L18" s="53"/>
      <x:c r="M18" s="66"/>
      <x:c r="N18" s="96"/>
      <x:c r="O18" s="69"/>
      <x:c r="P18" s="69"/>
      <x:c r="Q18" s="69"/>
      <x:c r="R18" s="53"/>
      <x:c r="S18" s="66" t="str">
        <x:v>CH</x:v>
      </x:c>
      <x:c r="T18" s="96" t="n">
        <x:f>'Base longa'!G423</x:f>
        <x:v>13</x:v>
      </x:c>
      <x:c r="U18" s="69" t="n">
        <x:f>'Base longa'!K423</x:f>
        <x:v>761.9</x:v>
      </x:c>
      <x:c r="V18" s="69" t="n">
        <x:f>'Base longa'!L423</x:f>
        <x:v>794</x:v>
      </x:c>
      <x:c r="W18" s="69" t="n">
        <x:f>'Base longa'!M423</x:f>
        <x:v>800</x:v>
      </x:c>
      <x:c r="X18" s="53"/>
      <x:c r="Y18" s="66" t="str">
        <x:v>CN</x:v>
      </x:c>
      <x:c r="Z18" s="96" t="n">
        <x:f>'Base longa'!G439</x:f>
        <x:v>13</x:v>
      </x:c>
      <x:c r="AA18" s="69" t="n">
        <x:f>'Base longa'!K439</x:f>
        <x:v>761.9</x:v>
      </x:c>
      <x:c r="AB18" s="69" t="n">
        <x:f>'Base longa'!L439</x:f>
        <x:v>794</x:v>
      </x:c>
      <x:c r="AC18" s="69" t="n">
        <x:f>'Base longa'!M439</x:f>
        <x:v>800</x:v>
      </x:c>
    </x:row>
    <x:row r="19">
      <x:c r="A19" s="56" t="str">
        <x:v>GERAL</x:v>
      </x:c>
      <x:c r="B19" s="95" t="n">
        <x:f>'Base longa'!G331</x:f>
        <x:v>14</x:v>
      </x:c>
      <x:c r="C19" s="57" t="n">
        <x:f>'Base longa'!K331</x:f>
        <x:v>293.7</x:v>
      </x:c>
      <x:c r="D19" s="57" t="n">
        <x:f>'Base longa'!L331</x:f>
        <x:v>318.5</x:v>
      </x:c>
      <x:c r="E19" s="57" t="n">
        <x:f>'Base longa'!M331</x:f>
        <x:v>343.3</x:v>
      </x:c>
      <x:c r="F19" s="53"/>
      <x:c r="G19" s="56" t="str">
        <x:v>LC</x:v>
      </x:c>
      <x:c r="H19" s="95" t="n">
        <x:f>'Base longa'!G392</x:f>
        <x:v>14</x:v>
      </x:c>
      <x:c r="I19" s="57" t="n">
        <x:f>'Base longa'!K392</x:f>
        <x:v>661.9</x:v>
      </x:c>
      <x:c r="J19" s="57" t="n">
        <x:f>'Base longa'!L392</x:f>
        <x:v>712.4</x:v>
      </x:c>
      <x:c r="K19" s="57" t="n">
        <x:f>'Base longa'!M392</x:f>
        <x:v>762.9</x:v>
      </x:c>
      <x:c r="L19" s="53"/>
      <x:c r="M19" s="56"/>
      <x:c r="N19" s="95"/>
      <x:c r="O19" s="57"/>
      <x:c r="P19" s="57"/>
      <x:c r="Q19" s="57"/>
      <x:c r="R19" s="53"/>
      <x:c r="S19" s="56" t="str">
        <x:v>CH</x:v>
      </x:c>
      <x:c r="T19" s="95" t="n">
        <x:f>'Base longa'!G424</x:f>
        <x:v>14</x:v>
      </x:c>
      <x:c r="U19" s="57" t="n">
        <x:f>'Base longa'!K424</x:f>
        <x:v>782.7</x:v>
      </x:c>
      <x:c r="V19" s="57" t="n">
        <x:f>'Base longa'!L424</x:f>
        <x:v>800</x:v>
      </x:c>
      <x:c r="W19" s="57" t="n">
        <x:f>'Base longa'!M424</x:f>
        <x:v>800</x:v>
      </x:c>
      <x:c r="X19" s="53"/>
      <x:c r="Y19" s="56" t="str">
        <x:v>CN</x:v>
      </x:c>
      <x:c r="Z19" s="95" t="n">
        <x:f>'Base longa'!G440</x:f>
        <x:v>14</x:v>
      </x:c>
      <x:c r="AA19" s="57" t="n">
        <x:f>'Base longa'!K440</x:f>
        <x:v>782.7</x:v>
      </x:c>
      <x:c r="AB19" s="57" t="n">
        <x:f>'Base longa'!L440</x:f>
        <x:v>800</x:v>
      </x:c>
      <x:c r="AC19" s="57" t="n">
        <x:f>'Base longa'!M440</x:f>
        <x:v>800</x:v>
      </x:c>
    </x:row>
    <x:row r="20">
      <x:c r="A20" s="66" t="str">
        <x:v>GERAL</x:v>
      </x:c>
      <x:c r="B20" s="96" t="n">
        <x:f>'Base longa'!G332</x:f>
        <x:v>15</x:v>
      </x:c>
      <x:c r="C20" s="69" t="n">
        <x:f>'Base longa'!K332</x:f>
        <x:v>305.3</x:v>
      </x:c>
      <x:c r="D20" s="69" t="n">
        <x:f>'Base longa'!L332</x:f>
        <x:v>331.3</x:v>
      </x:c>
      <x:c r="E20" s="69" t="n">
        <x:f>'Base longa'!M332</x:f>
        <x:v>357.3</x:v>
      </x:c>
      <x:c r="F20" s="53"/>
      <x:c r="G20" s="66" t="str">
        <x:v>LC</x:v>
      </x:c>
      <x:c r="H20" s="96" t="n">
        <x:f>'Base longa'!G393</x:f>
        <x:v>15</x:v>
      </x:c>
      <x:c r="I20" s="69" t="n">
        <x:f>'Base longa'!K393</x:f>
        <x:v>698.7</x:v>
      </x:c>
      <x:c r="J20" s="69" t="n">
        <x:f>'Base longa'!L393</x:f>
        <x:v>743.8</x:v>
      </x:c>
      <x:c r="K20" s="69" t="n">
        <x:f>'Base longa'!M393</x:f>
        <x:v>788.9</x:v>
      </x:c>
      <x:c r="L20" s="53"/>
      <x:c r="M20" s="66"/>
      <x:c r="N20" s="96"/>
      <x:c r="O20" s="69"/>
      <x:c r="P20" s="69"/>
      <x:c r="Q20" s="69"/>
      <x:c r="R20" s="53"/>
      <x:c r="S20" s="66" t="str">
        <x:v>CH</x:v>
      </x:c>
      <x:c r="T20" s="96" t="n">
        <x:f>'Base longa'!G425</x:f>
        <x:v>15</x:v>
      </x:c>
      <x:c r="U20" s="69" t="n">
        <x:f>'Base longa'!K425</x:f>
        <x:v>800</x:v>
      </x:c>
      <x:c r="V20" s="69" t="n">
        <x:f>'Base longa'!L425</x:f>
        <x:v>800</x:v>
      </x:c>
      <x:c r="W20" s="69" t="n">
        <x:f>'Base longa'!M425</x:f>
        <x:v>800</x:v>
      </x:c>
      <x:c r="X20" s="53"/>
      <x:c r="Y20" s="66" t="str">
        <x:v>CN</x:v>
      </x:c>
      <x:c r="Z20" s="96" t="n">
        <x:f>'Base longa'!G441</x:f>
        <x:v>15</x:v>
      </x:c>
      <x:c r="AA20" s="69" t="n">
        <x:f>'Base longa'!K441</x:f>
        <x:v>800</x:v>
      </x:c>
      <x:c r="AB20" s="69" t="n">
        <x:f>'Base longa'!L441</x:f>
        <x:v>800</x:v>
      </x:c>
      <x:c r="AC20" s="69" t="n">
        <x:f>'Base longa'!M441</x:f>
        <x:v>800</x:v>
      </x:c>
    </x:row>
    <x:row r="21">
      <x:c r="A21" s="56" t="str">
        <x:v>GERAL</x:v>
      </x:c>
      <x:c r="B21" s="95" t="n">
        <x:f>'Base longa'!G333</x:f>
        <x:v>16</x:v>
      </x:c>
      <x:c r="C21" s="57" t="n">
        <x:f>'Base longa'!K333</x:f>
        <x:v>317.3</x:v>
      </x:c>
      <x:c r="D21" s="57" t="n">
        <x:f>'Base longa'!L333</x:f>
        <x:v>344.4</x:v>
      </x:c>
      <x:c r="E21" s="57" t="n">
        <x:f>'Base longa'!M333</x:f>
        <x:v>371.5</x:v>
      </x:c>
      <x:c r="F21" s="53"/>
      <x:c r="G21" s="56" t="str">
        <x:v>LC</x:v>
      </x:c>
      <x:c r="H21" s="95" t="n">
        <x:f>'Base longa'!G394</x:f>
        <x:v>16</x:v>
      </x:c>
      <x:c r="I21" s="57" t="n">
        <x:f>'Base longa'!K394</x:f>
        <x:v>731.1</x:v>
      </x:c>
      <x:c r="J21" s="57" t="n">
        <x:f>'Base longa'!L394</x:f>
        <x:v>769.6</x:v>
      </x:c>
      <x:c r="K21" s="57" t="n">
        <x:f>'Base longa'!M394</x:f>
        <x:v>800</x:v>
      </x:c>
      <x:c r="L21" s="53"/>
      <x:c r="M21" s="56"/>
      <x:c r="N21" s="95"/>
      <x:c r="O21" s="57"/>
      <x:c r="P21" s="57"/>
      <x:c r="Q21" s="57"/>
      <x:c r="R21" s="53"/>
      <x:c r="S21" s="56"/>
      <x:c r="T21" s="95"/>
      <x:c r="U21" s="57"/>
      <x:c r="V21" s="57"/>
      <x:c r="W21" s="57"/>
      <x:c r="X21" s="53"/>
      <x:c r="Y21" s="56"/>
      <x:c r="Z21" s="95"/>
      <x:c r="AA21" s="57"/>
      <x:c r="AB21" s="57"/>
      <x:c r="AC21" s="57"/>
    </x:row>
    <x:row r="22">
      <x:c r="A22" s="66" t="str">
        <x:v>GERAL</x:v>
      </x:c>
      <x:c r="B22" s="96" t="n">
        <x:f>'Base longa'!G334</x:f>
        <x:v>17</x:v>
      </x:c>
      <x:c r="C22" s="69" t="n">
        <x:f>'Base longa'!K334</x:f>
        <x:v>329.6</x:v>
      </x:c>
      <x:c r="D22" s="69" t="n">
        <x:f>'Base longa'!L334</x:f>
        <x:v>357.8</x:v>
      </x:c>
      <x:c r="E22" s="69" t="n">
        <x:f>'Base longa'!M334</x:f>
        <x:v>386</x:v>
      </x:c>
      <x:c r="F22" s="53"/>
      <x:c r="G22" s="66" t="str">
        <x:v>LC</x:v>
      </x:c>
      <x:c r="H22" s="96" t="n">
        <x:f>'Base longa'!G395</x:f>
        <x:v>17</x:v>
      </x:c>
      <x:c r="I22" s="69" t="n">
        <x:f>'Base longa'!K395</x:f>
        <x:v>758.3</x:v>
      </x:c>
      <x:c r="J22" s="69" t="n">
        <x:f>'Base longa'!L395</x:f>
        <x:v>789</x:v>
      </x:c>
      <x:c r="K22" s="69" t="n">
        <x:f>'Base longa'!M395</x:f>
        <x:v>800</x:v>
      </x:c>
      <x:c r="L22" s="53"/>
      <x:c r="M22" s="66"/>
      <x:c r="N22" s="96"/>
      <x:c r="O22" s="69"/>
      <x:c r="P22" s="69"/>
      <x:c r="Q22" s="69"/>
      <x:c r="R22" s="53"/>
      <x:c r="S22" s="66"/>
      <x:c r="T22" s="96"/>
      <x:c r="U22" s="69"/>
      <x:c r="V22" s="69"/>
      <x:c r="W22" s="69"/>
      <x:c r="X22" s="53"/>
      <x:c r="Y22" s="66"/>
      <x:c r="Z22" s="96"/>
      <x:c r="AA22" s="69"/>
      <x:c r="AB22" s="69"/>
      <x:c r="AC22" s="69"/>
    </x:row>
    <x:row r="23">
      <x:c r="A23" s="56" t="str">
        <x:v>GERAL</x:v>
      </x:c>
      <x:c r="B23" s="95" t="n">
        <x:f>'Base longa'!G335</x:f>
        <x:v>18</x:v>
      </x:c>
      <x:c r="C23" s="57" t="n">
        <x:f>'Base longa'!K335</x:f>
        <x:v>342.5</x:v>
      </x:c>
      <x:c r="D23" s="57" t="n">
        <x:f>'Base longa'!L335</x:f>
        <x:v>371.6</x:v>
      </x:c>
      <x:c r="E23" s="57" t="n">
        <x:f>'Base longa'!M335</x:f>
        <x:v>400.7</x:v>
      </x:c>
      <x:c r="F23" s="53"/>
      <x:c r="G23" s="56" t="str">
        <x:v>LC</x:v>
      </x:c>
      <x:c r="H23" s="95" t="n">
        <x:f>'Base longa'!G396</x:f>
        <x:v>18</x:v>
      </x:c>
      <x:c r="I23" s="57" t="n">
        <x:f>'Base longa'!K396</x:f>
        <x:v>778.4</x:v>
      </x:c>
      <x:c r="J23" s="57" t="n">
        <x:f>'Base longa'!L396</x:f>
        <x:v>800</x:v>
      </x:c>
      <x:c r="K23" s="57" t="n">
        <x:f>'Base longa'!M396</x:f>
        <x:v>800</x:v>
      </x:c>
      <x:c r="L23" s="53"/>
      <x:c r="M23" s="56"/>
      <x:c r="N23" s="95"/>
      <x:c r="O23" s="57"/>
      <x:c r="P23" s="57"/>
      <x:c r="Q23" s="57"/>
      <x:c r="R23" s="53"/>
      <x:c r="S23" s="56"/>
      <x:c r="T23" s="95"/>
      <x:c r="U23" s="57"/>
      <x:c r="V23" s="57"/>
      <x:c r="W23" s="57"/>
      <x:c r="X23" s="53"/>
      <x:c r="Y23" s="56"/>
      <x:c r="Z23" s="95"/>
      <x:c r="AA23" s="57"/>
      <x:c r="AB23" s="57"/>
      <x:c r="AC23" s="57"/>
    </x:row>
    <x:row r="24">
      <x:c r="A24" s="66" t="str">
        <x:v>GERAL</x:v>
      </x:c>
      <x:c r="B24" s="96" t="n">
        <x:f>'Base longa'!G336</x:f>
        <x:v>19</x:v>
      </x:c>
      <x:c r="C24" s="69" t="n">
        <x:f>'Base longa'!K336</x:f>
        <x:v>355.7</x:v>
      </x:c>
      <x:c r="D24" s="69" t="n">
        <x:f>'Base longa'!L336</x:f>
        <x:v>385.7</x:v>
      </x:c>
      <x:c r="E24" s="69" t="n">
        <x:f>'Base longa'!M336</x:f>
        <x:v>415.7</x:v>
      </x:c>
      <x:c r="F24" s="53"/>
      <x:c r="G24" s="66" t="str">
        <x:v>LC</x:v>
      </x:c>
      <x:c r="H24" s="96" t="n">
        <x:f>'Base longa'!G397</x:f>
        <x:v>19</x:v>
      </x:c>
      <x:c r="I24" s="69" t="n">
        <x:f>'Base longa'!K397</x:f>
        <x:v>788.6</x:v>
      </x:c>
      <x:c r="J24" s="69" t="n">
        <x:f>'Base longa'!L397</x:f>
        <x:v>800</x:v>
      </x:c>
      <x:c r="K24" s="69" t="n">
        <x:f>'Base longa'!M397</x:f>
        <x:v>800</x:v>
      </x:c>
      <x:c r="L24" s="53"/>
      <x:c r="M24" s="66"/>
      <x:c r="N24" s="96"/>
      <x:c r="O24" s="69"/>
      <x:c r="P24" s="69"/>
      <x:c r="Q24" s="69"/>
      <x:c r="R24" s="53"/>
      <x:c r="S24" s="66"/>
      <x:c r="T24" s="96"/>
      <x:c r="U24" s="69"/>
      <x:c r="V24" s="69"/>
      <x:c r="W24" s="69"/>
      <x:c r="X24" s="53"/>
      <x:c r="Y24" s="66"/>
      <x:c r="Z24" s="96"/>
      <x:c r="AA24" s="69"/>
      <x:c r="AB24" s="69"/>
      <x:c r="AC24" s="69"/>
    </x:row>
    <x:row r="25">
      <x:c r="A25" s="56" t="str">
        <x:v>GERAL</x:v>
      </x:c>
      <x:c r="B25" s="95" t="n">
        <x:f>'Base longa'!G337</x:f>
        <x:v>20</x:v>
      </x:c>
      <x:c r="C25" s="57" t="n">
        <x:f>'Base longa'!K337</x:f>
        <x:v>369.2</x:v>
      </x:c>
      <x:c r="D25" s="57" t="n">
        <x:f>'Base longa'!L337</x:f>
        <x:v>400</x:v>
      </x:c>
      <x:c r="E25" s="57" t="n">
        <x:f>'Base longa'!M337</x:f>
        <x:v>430.8</x:v>
      </x:c>
      <x:c r="F25" s="53"/>
      <x:c r="G25" s="56" t="str">
        <x:v>LC</x:v>
      </x:c>
      <x:c r="H25" s="95" t="n">
        <x:f>'Base longa'!G398</x:f>
        <x:v>20</x:v>
      </x:c>
      <x:c r="I25" s="57" t="n">
        <x:f>'Base longa'!K398</x:f>
        <x:v>800</x:v>
      </x:c>
      <x:c r="J25" s="57" t="n">
        <x:f>'Base longa'!L398</x:f>
        <x:v>800</x:v>
      </x:c>
      <x:c r="K25" s="57" t="n">
        <x:f>'Base longa'!M398</x:f>
        <x:v>800</x:v>
      </x:c>
      <x:c r="L25" s="53"/>
      <x:c r="M25" s="56"/>
      <x:c r="N25" s="95"/>
      <x:c r="O25" s="57"/>
      <x:c r="P25" s="57"/>
      <x:c r="Q25" s="57"/>
      <x:c r="R25" s="53"/>
      <x:c r="S25" s="56"/>
      <x:c r="T25" s="95"/>
      <x:c r="U25" s="57"/>
      <x:c r="V25" s="57"/>
      <x:c r="W25" s="57"/>
      <x:c r="X25" s="53"/>
      <x:c r="Y25" s="56"/>
      <x:c r="Z25" s="95"/>
      <x:c r="AA25" s="57"/>
      <x:c r="AB25" s="57"/>
      <x:c r="AC25" s="57"/>
    </x:row>
    <x:row r="26">
      <x:c r="A26" s="66" t="str">
        <x:v>GERAL</x:v>
      </x:c>
      <x:c r="B26" s="96" t="n">
        <x:f>'Base longa'!G338</x:f>
        <x:v>21</x:v>
      </x:c>
      <x:c r="C26" s="69" t="n">
        <x:f>'Base longa'!K338</x:f>
        <x:v>383</x:v>
      </x:c>
      <x:c r="D26" s="69" t="n">
        <x:f>'Base longa'!L338</x:f>
        <x:v>414.6</x:v>
      </x:c>
      <x:c r="E26" s="69" t="n">
        <x:f>'Base longa'!M338</x:f>
        <x:v>446.2</x:v>
      </x:c>
      <x:c r="F26" s="53"/>
      <x:c r="G26" s="66"/>
      <x:c r="H26" s="96"/>
      <x:c r="I26" s="69"/>
      <x:c r="J26" s="69"/>
      <x:c r="K26" s="69"/>
      <x:c r="L26" s="53"/>
      <x:c r="M26" s="66"/>
      <x:c r="N26" s="96"/>
      <x:c r="O26" s="69"/>
      <x:c r="P26" s="69"/>
      <x:c r="Q26" s="69"/>
      <x:c r="R26" s="53"/>
      <x:c r="S26" s="66"/>
      <x:c r="T26" s="96"/>
      <x:c r="U26" s="69"/>
      <x:c r="V26" s="69"/>
      <x:c r="W26" s="69"/>
      <x:c r="X26" s="53"/>
      <x:c r="Y26" s="66"/>
      <x:c r="Z26" s="96"/>
      <x:c r="AA26" s="69"/>
      <x:c r="AB26" s="69"/>
      <x:c r="AC26" s="69"/>
    </x:row>
    <x:row r="27">
      <x:c r="A27" s="56" t="str">
        <x:v>GERAL</x:v>
      </x:c>
      <x:c r="B27" s="95" t="n">
        <x:f>'Base longa'!G339</x:f>
        <x:v>22</x:v>
      </x:c>
      <x:c r="C27" s="57" t="n">
        <x:f>'Base longa'!K339</x:f>
        <x:v>397.1</x:v>
      </x:c>
      <x:c r="D27" s="57" t="n">
        <x:f>'Base longa'!L339</x:f>
        <x:v>429.3</x:v>
      </x:c>
      <x:c r="E27" s="57" t="n">
        <x:f>'Base longa'!M339</x:f>
        <x:v>461.5</x:v>
      </x:c>
      <x:c r="F27" s="53"/>
      <x:c r="G27" s="56"/>
      <x:c r="H27" s="95"/>
      <x:c r="I27" s="57"/>
      <x:c r="J27" s="57"/>
      <x:c r="K27" s="57"/>
      <x:c r="L27" s="53"/>
      <x:c r="M27" s="56"/>
      <x:c r="N27" s="95"/>
      <x:c r="O27" s="57"/>
      <x:c r="P27" s="57"/>
      <x:c r="Q27" s="57"/>
      <x:c r="R27" s="53"/>
      <x:c r="S27" s="56"/>
      <x:c r="T27" s="95"/>
      <x:c r="U27" s="57"/>
      <x:c r="V27" s="57"/>
      <x:c r="W27" s="57"/>
      <x:c r="X27" s="53"/>
      <x:c r="Y27" s="56"/>
      <x:c r="Z27" s="95"/>
      <x:c r="AA27" s="57"/>
      <x:c r="AB27" s="57"/>
      <x:c r="AC27" s="57"/>
    </x:row>
    <x:row r="28">
      <x:c r="A28" s="66" t="str">
        <x:v>GERAL</x:v>
      </x:c>
      <x:c r="B28" s="96" t="n">
        <x:f>'Base longa'!G340</x:f>
        <x:v>23</x:v>
      </x:c>
      <x:c r="C28" s="69" t="n">
        <x:f>'Base longa'!K340</x:f>
        <x:v>411.4</x:v>
      </x:c>
      <x:c r="D28" s="69" t="n">
        <x:f>'Base longa'!L340</x:f>
        <x:v>444.2</x:v>
      </x:c>
      <x:c r="E28" s="69" t="n">
        <x:f>'Base longa'!M340</x:f>
        <x:v>477</x:v>
      </x:c>
      <x:c r="F28" s="53"/>
      <x:c r="G28" s="66"/>
      <x:c r="H28" s="96"/>
      <x:c r="I28" s="69"/>
      <x:c r="J28" s="69"/>
      <x:c r="K28" s="69"/>
      <x:c r="L28" s="53"/>
      <x:c r="M28" s="66"/>
      <x:c r="N28" s="96"/>
      <x:c r="O28" s="69"/>
      <x:c r="P28" s="69"/>
      <x:c r="Q28" s="69"/>
      <x:c r="R28" s="53"/>
      <x:c r="S28" s="66"/>
      <x:c r="T28" s="96"/>
      <x:c r="U28" s="69"/>
      <x:c r="V28" s="69"/>
      <x:c r="W28" s="69"/>
      <x:c r="X28" s="53"/>
      <x:c r="Y28" s="66"/>
      <x:c r="Z28" s="96"/>
      <x:c r="AA28" s="69"/>
      <x:c r="AB28" s="69"/>
      <x:c r="AC28" s="69"/>
    </x:row>
    <x:row r="29">
      <x:c r="A29" s="56" t="str">
        <x:v>GERAL</x:v>
      </x:c>
      <x:c r="B29" s="95" t="n">
        <x:f>'Base longa'!G341</x:f>
        <x:v>24</x:v>
      </x:c>
      <x:c r="C29" s="57" t="n">
        <x:f>'Base longa'!K341</x:f>
        <x:v>425.9</x:v>
      </x:c>
      <x:c r="D29" s="57" t="n">
        <x:f>'Base longa'!L341</x:f>
        <x:v>459.2</x:v>
      </x:c>
      <x:c r="E29" s="57" t="n">
        <x:f>'Base longa'!M341</x:f>
        <x:v>492.5</x:v>
      </x:c>
      <x:c r="F29" s="53"/>
      <x:c r="G29" s="56"/>
      <x:c r="H29" s="95"/>
      <x:c r="I29" s="57"/>
      <x:c r="J29" s="57"/>
      <x:c r="K29" s="57"/>
      <x:c r="L29" s="53"/>
      <x:c r="M29" s="56"/>
      <x:c r="N29" s="95"/>
      <x:c r="O29" s="57"/>
      <x:c r="P29" s="57"/>
      <x:c r="Q29" s="57"/>
      <x:c r="R29" s="53"/>
      <x:c r="S29" s="56"/>
      <x:c r="T29" s="95"/>
      <x:c r="U29" s="57"/>
      <x:c r="V29" s="57"/>
      <x:c r="W29" s="57"/>
      <x:c r="X29" s="53"/>
      <x:c r="Y29" s="56"/>
      <x:c r="Z29" s="95"/>
      <x:c r="AA29" s="57"/>
      <x:c r="AB29" s="57"/>
      <x:c r="AC29" s="57"/>
    </x:row>
    <x:row r="30">
      <x:c r="A30" s="66" t="str">
        <x:v>GERAL</x:v>
      </x:c>
      <x:c r="B30" s="96" t="n">
        <x:f>'Base longa'!G342</x:f>
        <x:v>25</x:v>
      </x:c>
      <x:c r="C30" s="69" t="n">
        <x:f>'Base longa'!K342</x:f>
        <x:v>440.6</x:v>
      </x:c>
      <x:c r="D30" s="69" t="n">
        <x:f>'Base longa'!L342</x:f>
        <x:v>474.3</x:v>
      </x:c>
      <x:c r="E30" s="69" t="n">
        <x:f>'Base longa'!M342</x:f>
        <x:v>508</x:v>
      </x:c>
      <x:c r="F30" s="53"/>
      <x:c r="G30" s="66"/>
      <x:c r="H30" s="96"/>
      <x:c r="I30" s="69"/>
      <x:c r="J30" s="69"/>
      <x:c r="K30" s="69"/>
      <x:c r="L30" s="53"/>
      <x:c r="M30" s="66"/>
      <x:c r="N30" s="96"/>
      <x:c r="O30" s="69"/>
      <x:c r="P30" s="69"/>
      <x:c r="Q30" s="69"/>
      <x:c r="R30" s="53"/>
      <x:c r="S30" s="66"/>
      <x:c r="T30" s="96"/>
      <x:c r="U30" s="69"/>
      <x:c r="V30" s="69"/>
      <x:c r="W30" s="69"/>
      <x:c r="X30" s="53"/>
      <x:c r="Y30" s="66"/>
      <x:c r="Z30" s="96"/>
      <x:c r="AA30" s="69"/>
      <x:c r="AB30" s="69"/>
      <x:c r="AC30" s="69"/>
    </x:row>
    <x:row r="31">
      <x:c r="A31" s="56" t="str">
        <x:v>GERAL</x:v>
      </x:c>
      <x:c r="B31" s="95" t="n">
        <x:f>'Base longa'!G343</x:f>
        <x:v>26</x:v>
      </x:c>
      <x:c r="C31" s="57" t="n">
        <x:f>'Base longa'!K343</x:f>
        <x:v>455.4</x:v>
      </x:c>
      <x:c r="D31" s="57" t="n">
        <x:f>'Base longa'!L343</x:f>
        <x:v>489.5</x:v>
      </x:c>
      <x:c r="E31" s="57" t="n">
        <x:f>'Base longa'!M343</x:f>
        <x:v>523.6</x:v>
      </x:c>
      <x:c r="F31" s="53"/>
      <x:c r="G31" s="56"/>
      <x:c r="H31" s="95"/>
      <x:c r="I31" s="57"/>
      <x:c r="J31" s="57"/>
      <x:c r="K31" s="57"/>
      <x:c r="L31" s="53"/>
      <x:c r="M31" s="56"/>
      <x:c r="N31" s="95"/>
      <x:c r="O31" s="57"/>
      <x:c r="P31" s="57"/>
      <x:c r="Q31" s="57"/>
      <x:c r="R31" s="53"/>
      <x:c r="S31" s="56"/>
      <x:c r="T31" s="95"/>
      <x:c r="U31" s="57"/>
      <x:c r="V31" s="57"/>
      <x:c r="W31" s="57"/>
      <x:c r="X31" s="53"/>
      <x:c r="Y31" s="56"/>
      <x:c r="Z31" s="95"/>
      <x:c r="AA31" s="57"/>
      <x:c r="AB31" s="57"/>
      <x:c r="AC31" s="57"/>
    </x:row>
    <x:row r="32">
      <x:c r="A32" s="66" t="str">
        <x:v>GERAL</x:v>
      </x:c>
      <x:c r="B32" s="96" t="n">
        <x:f>'Base longa'!G344</x:f>
        <x:v>27</x:v>
      </x:c>
      <x:c r="C32" s="69" t="n">
        <x:f>'Base longa'!K344</x:f>
        <x:v>470.3</x:v>
      </x:c>
      <x:c r="D32" s="69" t="n">
        <x:f>'Base longa'!L344</x:f>
        <x:v>504.7</x:v>
      </x:c>
      <x:c r="E32" s="69" t="n">
        <x:f>'Base longa'!M344</x:f>
        <x:v>539.1</x:v>
      </x:c>
      <x:c r="F32" s="53"/>
      <x:c r="G32" s="66"/>
      <x:c r="H32" s="96"/>
      <x:c r="I32" s="69"/>
      <x:c r="J32" s="69"/>
      <x:c r="K32" s="69"/>
      <x:c r="L32" s="53"/>
      <x:c r="M32" s="66"/>
      <x:c r="N32" s="96"/>
      <x:c r="O32" s="69"/>
      <x:c r="P32" s="69"/>
      <x:c r="Q32" s="69"/>
      <x:c r="R32" s="53"/>
      <x:c r="S32" s="66"/>
      <x:c r="T32" s="96"/>
      <x:c r="U32" s="69"/>
      <x:c r="V32" s="69"/>
      <x:c r="W32" s="69"/>
      <x:c r="X32" s="53"/>
      <x:c r="Y32" s="66"/>
      <x:c r="Z32" s="96"/>
      <x:c r="AA32" s="69"/>
      <x:c r="AB32" s="69"/>
      <x:c r="AC32" s="69"/>
    </x:row>
    <x:row r="33">
      <x:c r="A33" s="56" t="str">
        <x:v>GERAL</x:v>
      </x:c>
      <x:c r="B33" s="95" t="n">
        <x:f>'Base longa'!G345</x:f>
        <x:v>28</x:v>
      </x:c>
      <x:c r="C33" s="57" t="n">
        <x:f>'Base longa'!K345</x:f>
        <x:v>485.3</x:v>
      </x:c>
      <x:c r="D33" s="57" t="n">
        <x:f>'Base longa'!L345</x:f>
        <x:v>519.8</x:v>
      </x:c>
      <x:c r="E33" s="57" t="n">
        <x:f>'Base longa'!M345</x:f>
        <x:v>554.3</x:v>
      </x:c>
      <x:c r="F33" s="53"/>
      <x:c r="G33" s="56"/>
      <x:c r="H33" s="95"/>
      <x:c r="I33" s="57"/>
      <x:c r="J33" s="57"/>
      <x:c r="K33" s="57"/>
      <x:c r="L33" s="53"/>
      <x:c r="M33" s="56"/>
      <x:c r="N33" s="95"/>
      <x:c r="O33" s="57"/>
      <x:c r="P33" s="57"/>
      <x:c r="Q33" s="57"/>
      <x:c r="R33" s="53"/>
      <x:c r="S33" s="56"/>
      <x:c r="T33" s="95"/>
      <x:c r="U33" s="57"/>
      <x:c r="V33" s="57"/>
      <x:c r="W33" s="57"/>
      <x:c r="X33" s="53"/>
      <x:c r="Y33" s="56"/>
      <x:c r="Z33" s="95"/>
      <x:c r="AA33" s="57"/>
      <x:c r="AB33" s="57"/>
      <x:c r="AC33" s="57"/>
    </x:row>
    <x:row r="34">
      <x:c r="A34" s="66" t="str">
        <x:v>GERAL</x:v>
      </x:c>
      <x:c r="B34" s="96" t="n">
        <x:f>'Base longa'!G346</x:f>
        <x:v>29</x:v>
      </x:c>
      <x:c r="C34" s="69" t="n">
        <x:f>'Base longa'!K346</x:f>
        <x:v>500.2</x:v>
      </x:c>
      <x:c r="D34" s="69" t="n">
        <x:f>'Base longa'!L346</x:f>
        <x:v>534.9</x:v>
      </x:c>
      <x:c r="E34" s="69" t="n">
        <x:f>'Base longa'!M346</x:f>
        <x:v>569.6</x:v>
      </x:c>
      <x:c r="F34" s="53"/>
      <x:c r="G34" s="66"/>
      <x:c r="H34" s="96"/>
      <x:c r="I34" s="69"/>
      <x:c r="J34" s="69"/>
      <x:c r="K34" s="69"/>
      <x:c r="L34" s="53"/>
      <x:c r="M34" s="66"/>
      <x:c r="N34" s="96"/>
      <x:c r="O34" s="69"/>
      <x:c r="P34" s="69"/>
      <x:c r="Q34" s="69"/>
      <x:c r="R34" s="53"/>
      <x:c r="S34" s="66"/>
      <x:c r="T34" s="96"/>
      <x:c r="U34" s="69"/>
      <x:c r="V34" s="69"/>
      <x:c r="W34" s="69"/>
      <x:c r="X34" s="53"/>
      <x:c r="Y34" s="66"/>
      <x:c r="Z34" s="96"/>
      <x:c r="AA34" s="69"/>
      <x:c r="AB34" s="69"/>
      <x:c r="AC34" s="69"/>
    </x:row>
    <x:row r="35">
      <x:c r="A35" s="56" t="str">
        <x:v>GERAL</x:v>
      </x:c>
      <x:c r="B35" s="95" t="n">
        <x:f>'Base longa'!G347</x:f>
        <x:v>30</x:v>
      </x:c>
      <x:c r="C35" s="57" t="n">
        <x:f>'Base longa'!K347</x:f>
        <x:v>515.3</x:v>
      </x:c>
      <x:c r="D35" s="57" t="n">
        <x:f>'Base longa'!L347</x:f>
        <x:v>550</x:v>
      </x:c>
      <x:c r="E35" s="57" t="n">
        <x:f>'Base longa'!M347</x:f>
        <x:v>584.7</x:v>
      </x:c>
      <x:c r="F35" s="53"/>
      <x:c r="G35" s="56"/>
      <x:c r="H35" s="95"/>
      <x:c r="I35" s="57"/>
      <x:c r="J35" s="57"/>
      <x:c r="K35" s="57"/>
      <x:c r="L35" s="53"/>
      <x:c r="M35" s="56"/>
      <x:c r="N35" s="95"/>
      <x:c r="O35" s="57"/>
      <x:c r="P35" s="57"/>
      <x:c r="Q35" s="57"/>
      <x:c r="R35" s="53"/>
      <x:c r="S35" s="56"/>
      <x:c r="T35" s="95"/>
      <x:c r="U35" s="57"/>
      <x:c r="V35" s="57"/>
      <x:c r="W35" s="57"/>
      <x:c r="X35" s="53"/>
      <x:c r="Y35" s="56"/>
      <x:c r="Z35" s="95"/>
      <x:c r="AA35" s="57"/>
      <x:c r="AB35" s="57"/>
      <x:c r="AC35" s="57"/>
    </x:row>
    <x:row r="36">
      <x:c r="A36" s="66" t="str">
        <x:v>GERAL</x:v>
      </x:c>
      <x:c r="B36" s="96" t="n">
        <x:f>'Base longa'!G348</x:f>
        <x:v>31</x:v>
      </x:c>
      <x:c r="C36" s="69" t="n">
        <x:f>'Base longa'!K348</x:f>
        <x:v>530.2</x:v>
      </x:c>
      <x:c r="D36" s="69" t="n">
        <x:f>'Base longa'!L348</x:f>
        <x:v>564.9</x:v>
      </x:c>
      <x:c r="E36" s="69" t="n">
        <x:f>'Base longa'!M348</x:f>
        <x:v>599.6</x:v>
      </x:c>
      <x:c r="F36" s="53"/>
      <x:c r="G36" s="66"/>
      <x:c r="H36" s="96"/>
      <x:c r="I36" s="69"/>
      <x:c r="J36" s="69"/>
      <x:c r="K36" s="69"/>
      <x:c r="L36" s="53"/>
      <x:c r="M36" s="66"/>
      <x:c r="N36" s="96"/>
      <x:c r="O36" s="69"/>
      <x:c r="P36" s="69"/>
      <x:c r="Q36" s="69"/>
      <x:c r="R36" s="53"/>
      <x:c r="S36" s="66"/>
      <x:c r="T36" s="96"/>
      <x:c r="U36" s="69"/>
      <x:c r="V36" s="69"/>
      <x:c r="W36" s="69"/>
      <x:c r="X36" s="53"/>
      <x:c r="Y36" s="66"/>
      <x:c r="Z36" s="96"/>
      <x:c r="AA36" s="69"/>
      <x:c r="AB36" s="69"/>
      <x:c r="AC36" s="69"/>
    </x:row>
    <x:row r="37">
      <x:c r="A37" s="56" t="str">
        <x:v>GERAL</x:v>
      </x:c>
      <x:c r="B37" s="95" t="n">
        <x:f>'Base longa'!G349</x:f>
        <x:v>32</x:v>
      </x:c>
      <x:c r="C37" s="57" t="n">
        <x:f>'Base longa'!K349</x:f>
        <x:v>545.2</x:v>
      </x:c>
      <x:c r="D37" s="57" t="n">
        <x:f>'Base longa'!L349</x:f>
        <x:v>579.7</x:v>
      </x:c>
      <x:c r="E37" s="57" t="n">
        <x:f>'Base longa'!M349</x:f>
        <x:v>614.2</x:v>
      </x:c>
      <x:c r="F37" s="53"/>
      <x:c r="G37" s="56"/>
      <x:c r="H37" s="95"/>
      <x:c r="I37" s="57"/>
      <x:c r="J37" s="57"/>
      <x:c r="K37" s="57"/>
      <x:c r="L37" s="53"/>
      <x:c r="M37" s="56"/>
      <x:c r="N37" s="95"/>
      <x:c r="O37" s="57"/>
      <x:c r="P37" s="57"/>
      <x:c r="Q37" s="57"/>
      <x:c r="R37" s="53"/>
      <x:c r="S37" s="56"/>
      <x:c r="T37" s="95"/>
      <x:c r="U37" s="57"/>
      <x:c r="V37" s="57"/>
      <x:c r="W37" s="57"/>
      <x:c r="X37" s="53"/>
      <x:c r="Y37" s="56"/>
      <x:c r="Z37" s="95"/>
      <x:c r="AA37" s="57"/>
      <x:c r="AB37" s="57"/>
      <x:c r="AC37" s="57"/>
    </x:row>
    <x:row r="38">
      <x:c r="A38" s="66" t="str">
        <x:v>GERAL</x:v>
      </x:c>
      <x:c r="B38" s="96" t="n">
        <x:f>'Base longa'!G350</x:f>
        <x:v>33</x:v>
      </x:c>
      <x:c r="C38" s="69" t="n">
        <x:f>'Base longa'!K350</x:f>
        <x:v>560</x:v>
      </x:c>
      <x:c r="D38" s="69" t="n">
        <x:f>'Base longa'!L350</x:f>
        <x:v>594.4</x:v>
      </x:c>
      <x:c r="E38" s="69" t="n">
        <x:f>'Base longa'!M350</x:f>
        <x:v>628.8</x:v>
      </x:c>
      <x:c r="F38" s="53"/>
      <x:c r="G38" s="66"/>
      <x:c r="H38" s="96"/>
      <x:c r="I38" s="69"/>
      <x:c r="J38" s="69"/>
      <x:c r="K38" s="69"/>
      <x:c r="L38" s="53"/>
      <x:c r="M38" s="66"/>
      <x:c r="N38" s="96"/>
      <x:c r="O38" s="69"/>
      <x:c r="P38" s="69"/>
      <x:c r="Q38" s="69"/>
      <x:c r="R38" s="53"/>
      <x:c r="S38" s="66"/>
      <x:c r="T38" s="96"/>
      <x:c r="U38" s="69"/>
      <x:c r="V38" s="69"/>
      <x:c r="W38" s="69"/>
      <x:c r="X38" s="53"/>
      <x:c r="Y38" s="66"/>
      <x:c r="Z38" s="96"/>
      <x:c r="AA38" s="69"/>
      <x:c r="AB38" s="69"/>
      <x:c r="AC38" s="69"/>
    </x:row>
    <x:row r="39">
      <x:c r="A39" s="56" t="str">
        <x:v>GERAL</x:v>
      </x:c>
      <x:c r="B39" s="95" t="n">
        <x:f>'Base longa'!G351</x:f>
        <x:v>34</x:v>
      </x:c>
      <x:c r="C39" s="57" t="n">
        <x:f>'Base longa'!K351</x:f>
        <x:v>574.7</x:v>
      </x:c>
      <x:c r="D39" s="57" t="n">
        <x:f>'Base longa'!L351</x:f>
        <x:v>608.8</x:v>
      </x:c>
      <x:c r="E39" s="57" t="n">
        <x:f>'Base longa'!M351</x:f>
        <x:v>642.9</x:v>
      </x:c>
      <x:c r="F39" s="53"/>
      <x:c r="G39" s="56"/>
      <x:c r="H39" s="95"/>
      <x:c r="I39" s="57"/>
      <x:c r="J39" s="57"/>
      <x:c r="K39" s="57"/>
      <x:c r="L39" s="53"/>
      <x:c r="M39" s="56"/>
      <x:c r="N39" s="95"/>
      <x:c r="O39" s="57"/>
      <x:c r="P39" s="57"/>
      <x:c r="Q39" s="57"/>
      <x:c r="R39" s="53"/>
      <x:c r="S39" s="56"/>
      <x:c r="T39" s="95"/>
      <x:c r="U39" s="57"/>
      <x:c r="V39" s="57"/>
      <x:c r="W39" s="57"/>
      <x:c r="X39" s="53"/>
      <x:c r="Y39" s="56"/>
      <x:c r="Z39" s="95"/>
      <x:c r="AA39" s="57"/>
      <x:c r="AB39" s="57"/>
      <x:c r="AC39" s="57"/>
    </x:row>
    <x:row r="40">
      <x:c r="A40" s="66" t="str">
        <x:v>GERAL</x:v>
      </x:c>
      <x:c r="B40" s="96" t="n">
        <x:f>'Base longa'!G352</x:f>
        <x:v>35</x:v>
      </x:c>
      <x:c r="C40" s="69" t="n">
        <x:f>'Base longa'!K352</x:f>
        <x:v>589.2</x:v>
      </x:c>
      <x:c r="D40" s="69" t="n">
        <x:f>'Base longa'!L352</x:f>
        <x:v>622.9</x:v>
      </x:c>
      <x:c r="E40" s="69" t="n">
        <x:f>'Base longa'!M352</x:f>
        <x:v>656.6</x:v>
      </x:c>
      <x:c r="F40" s="53"/>
      <x:c r="G40" s="66"/>
      <x:c r="H40" s="96"/>
      <x:c r="I40" s="69"/>
      <x:c r="J40" s="69"/>
      <x:c r="K40" s="69"/>
      <x:c r="L40" s="53"/>
      <x:c r="M40" s="66"/>
      <x:c r="N40" s="96"/>
      <x:c r="O40" s="69"/>
      <x:c r="P40" s="69"/>
      <x:c r="Q40" s="69"/>
      <x:c r="R40" s="53"/>
      <x:c r="S40" s="66"/>
      <x:c r="T40" s="96"/>
      <x:c r="U40" s="69"/>
      <x:c r="V40" s="69"/>
      <x:c r="W40" s="69"/>
      <x:c r="X40" s="53"/>
      <x:c r="Y40" s="66"/>
      <x:c r="Z40" s="96"/>
      <x:c r="AA40" s="69"/>
      <x:c r="AB40" s="69"/>
      <x:c r="AC40" s="69"/>
    </x:row>
    <x:row r="41">
      <x:c r="A41" s="56" t="str">
        <x:v>GERAL</x:v>
      </x:c>
      <x:c r="B41" s="95" t="n">
        <x:f>'Base longa'!G353</x:f>
        <x:v>36</x:v>
      </x:c>
      <x:c r="C41" s="57" t="n">
        <x:f>'Base longa'!K353</x:f>
        <x:v>603.5</x:v>
      </x:c>
      <x:c r="D41" s="57" t="n">
        <x:f>'Base longa'!L353</x:f>
        <x:v>636.8</x:v>
      </x:c>
      <x:c r="E41" s="57" t="n">
        <x:f>'Base longa'!M353</x:f>
        <x:v>670.1</x:v>
      </x:c>
      <x:c r="F41" s="53"/>
      <x:c r="G41" s="56"/>
      <x:c r="H41" s="95"/>
      <x:c r="I41" s="57"/>
      <x:c r="J41" s="57"/>
      <x:c r="K41" s="57"/>
      <x:c r="L41" s="53"/>
      <x:c r="M41" s="56"/>
      <x:c r="N41" s="95"/>
      <x:c r="O41" s="57"/>
      <x:c r="P41" s="57"/>
      <x:c r="Q41" s="57"/>
      <x:c r="R41" s="53"/>
      <x:c r="S41" s="56"/>
      <x:c r="T41" s="95"/>
      <x:c r="U41" s="57"/>
      <x:c r="V41" s="57"/>
      <x:c r="W41" s="57"/>
      <x:c r="X41" s="53"/>
      <x:c r="Y41" s="56"/>
      <x:c r="Z41" s="95"/>
      <x:c r="AA41" s="57"/>
      <x:c r="AB41" s="57"/>
      <x:c r="AC41" s="57"/>
    </x:row>
    <x:row r="42">
      <x:c r="A42" s="66" t="str">
        <x:v>GERAL</x:v>
      </x:c>
      <x:c r="B42" s="96" t="n">
        <x:f>'Base longa'!G354</x:f>
        <x:v>37</x:v>
      </x:c>
      <x:c r="C42" s="69" t="n">
        <x:f>'Base longa'!K354</x:f>
        <x:v>617.6</x:v>
      </x:c>
      <x:c r="D42" s="69" t="n">
        <x:f>'Base longa'!L354</x:f>
        <x:v>650.4</x:v>
      </x:c>
      <x:c r="E42" s="69" t="n">
        <x:f>'Base longa'!M354</x:f>
        <x:v>683.2</x:v>
      </x:c>
      <x:c r="F42" s="53"/>
      <x:c r="G42" s="66"/>
      <x:c r="H42" s="96"/>
      <x:c r="I42" s="69"/>
      <x:c r="J42" s="69"/>
      <x:c r="K42" s="69"/>
      <x:c r="L42" s="53"/>
      <x:c r="M42" s="66"/>
      <x:c r="N42" s="96"/>
      <x:c r="O42" s="69"/>
      <x:c r="P42" s="69"/>
      <x:c r="Q42" s="69"/>
      <x:c r="R42" s="53"/>
      <x:c r="S42" s="66"/>
      <x:c r="T42" s="96"/>
      <x:c r="U42" s="69"/>
      <x:c r="V42" s="69"/>
      <x:c r="W42" s="69"/>
      <x:c r="X42" s="53"/>
      <x:c r="Y42" s="66"/>
      <x:c r="Z42" s="96"/>
      <x:c r="AA42" s="69"/>
      <x:c r="AB42" s="69"/>
      <x:c r="AC42" s="69"/>
    </x:row>
    <x:row r="43">
      <x:c r="A43" s="56" t="str">
        <x:v>GERAL</x:v>
      </x:c>
      <x:c r="B43" s="95" t="n">
        <x:f>'Base longa'!G355</x:f>
        <x:v>38</x:v>
      </x:c>
      <x:c r="C43" s="57" t="n">
        <x:f>'Base longa'!K355</x:f>
        <x:v>631.4</x:v>
      </x:c>
      <x:c r="D43" s="57" t="n">
        <x:f>'Base longa'!L355</x:f>
        <x:v>663.6</x:v>
      </x:c>
      <x:c r="E43" s="57" t="n">
        <x:f>'Base longa'!M355</x:f>
        <x:v>695.8</x:v>
      </x:c>
      <x:c r="F43" s="53"/>
      <x:c r="G43" s="56"/>
      <x:c r="H43" s="95"/>
      <x:c r="I43" s="57"/>
      <x:c r="J43" s="57"/>
      <x:c r="K43" s="57"/>
      <x:c r="L43" s="53"/>
      <x:c r="M43" s="56"/>
      <x:c r="N43" s="95"/>
      <x:c r="O43" s="57"/>
      <x:c r="P43" s="57"/>
      <x:c r="Q43" s="57"/>
      <x:c r="R43" s="53"/>
      <x:c r="S43" s="56"/>
      <x:c r="T43" s="95"/>
      <x:c r="U43" s="57"/>
      <x:c r="V43" s="57"/>
      <x:c r="W43" s="57"/>
      <x:c r="X43" s="53"/>
      <x:c r="Y43" s="56"/>
      <x:c r="Z43" s="95"/>
      <x:c r="AA43" s="57"/>
      <x:c r="AB43" s="57"/>
      <x:c r="AC43" s="57"/>
    </x:row>
    <x:row r="44">
      <x:c r="A44" s="66" t="str">
        <x:v>GERAL</x:v>
      </x:c>
      <x:c r="B44" s="96" t="n">
        <x:f>'Base longa'!G356</x:f>
        <x:v>39</x:v>
      </x:c>
      <x:c r="C44" s="69" t="n">
        <x:f>'Base longa'!K356</x:f>
        <x:v>644.9</x:v>
      </x:c>
      <x:c r="D44" s="69" t="n">
        <x:f>'Base longa'!L356</x:f>
        <x:v>676.5</x:v>
      </x:c>
      <x:c r="E44" s="69" t="n">
        <x:f>'Base longa'!M356</x:f>
        <x:v>708.1</x:v>
      </x:c>
      <x:c r="F44" s="53"/>
      <x:c r="G44" s="66"/>
      <x:c r="H44" s="96"/>
      <x:c r="I44" s="69"/>
      <x:c r="J44" s="69"/>
      <x:c r="K44" s="69"/>
      <x:c r="L44" s="53"/>
      <x:c r="M44" s="66"/>
      <x:c r="N44" s="96"/>
      <x:c r="O44" s="69"/>
      <x:c r="P44" s="69"/>
      <x:c r="Q44" s="69"/>
      <x:c r="R44" s="53"/>
      <x:c r="S44" s="66"/>
      <x:c r="T44" s="96"/>
      <x:c r="U44" s="69"/>
      <x:c r="V44" s="69"/>
      <x:c r="W44" s="69"/>
      <x:c r="X44" s="53"/>
      <x:c r="Y44" s="66"/>
      <x:c r="Z44" s="96"/>
      <x:c r="AA44" s="69"/>
      <x:c r="AB44" s="69"/>
      <x:c r="AC44" s="69"/>
    </x:row>
    <x:row r="45">
      <x:c r="A45" s="56" t="str">
        <x:v>GERAL</x:v>
      </x:c>
      <x:c r="B45" s="95" t="n">
        <x:f>'Base longa'!G357</x:f>
        <x:v>40</x:v>
      </x:c>
      <x:c r="C45" s="57" t="n">
        <x:f>'Base longa'!K357</x:f>
        <x:v>658.1</x:v>
      </x:c>
      <x:c r="D45" s="57" t="n">
        <x:f>'Base longa'!L357</x:f>
        <x:v>688.9</x:v>
      </x:c>
      <x:c r="E45" s="57" t="n">
        <x:f>'Base longa'!M357</x:f>
        <x:v>719.7</x:v>
      </x:c>
      <x:c r="F45" s="53"/>
      <x:c r="G45" s="56"/>
      <x:c r="H45" s="95"/>
      <x:c r="I45" s="57"/>
      <x:c r="J45" s="57"/>
      <x:c r="K45" s="57"/>
      <x:c r="L45" s="53"/>
      <x:c r="M45" s="56"/>
      <x:c r="N45" s="95"/>
      <x:c r="O45" s="57"/>
      <x:c r="P45" s="57"/>
      <x:c r="Q45" s="57"/>
      <x:c r="R45" s="53"/>
      <x:c r="S45" s="56"/>
      <x:c r="T45" s="95"/>
      <x:c r="U45" s="57"/>
      <x:c r="V45" s="57"/>
      <x:c r="W45" s="57"/>
      <x:c r="X45" s="53"/>
      <x:c r="Y45" s="56"/>
      <x:c r="Z45" s="95"/>
      <x:c r="AA45" s="57"/>
      <x:c r="AB45" s="57"/>
      <x:c r="AC45" s="57"/>
    </x:row>
    <x:row r="46">
      <x:c r="A46" s="66" t="str">
        <x:v>GERAL</x:v>
      </x:c>
      <x:c r="B46" s="96" t="n">
        <x:f>'Base longa'!G358</x:f>
        <x:v>41</x:v>
      </x:c>
      <x:c r="C46" s="69" t="n">
        <x:f>'Base longa'!K358</x:f>
        <x:v>670.9</x:v>
      </x:c>
      <x:c r="D46" s="69" t="n">
        <x:f>'Base longa'!L358</x:f>
        <x:v>700.9</x:v>
      </x:c>
      <x:c r="E46" s="69" t="n">
        <x:f>'Base longa'!M358</x:f>
        <x:v>730.9</x:v>
      </x:c>
      <x:c r="F46" s="53"/>
      <x:c r="G46" s="66"/>
      <x:c r="H46" s="96"/>
      <x:c r="I46" s="69"/>
      <x:c r="J46" s="69"/>
      <x:c r="K46" s="69"/>
      <x:c r="L46" s="53"/>
      <x:c r="M46" s="66"/>
      <x:c r="N46" s="96"/>
      <x:c r="O46" s="69"/>
      <x:c r="P46" s="69"/>
      <x:c r="Q46" s="69"/>
      <x:c r="R46" s="53"/>
      <x:c r="S46" s="66"/>
      <x:c r="T46" s="96"/>
      <x:c r="U46" s="69"/>
      <x:c r="V46" s="69"/>
      <x:c r="W46" s="69"/>
      <x:c r="X46" s="53"/>
      <x:c r="Y46" s="66"/>
      <x:c r="Z46" s="96"/>
      <x:c r="AA46" s="69"/>
      <x:c r="AB46" s="69"/>
      <x:c r="AC46" s="69"/>
    </x:row>
    <x:row r="47">
      <x:c r="A47" s="56" t="str">
        <x:v>GERAL</x:v>
      </x:c>
      <x:c r="B47" s="95" t="n">
        <x:f>'Base longa'!G359</x:f>
        <x:v>42</x:v>
      </x:c>
      <x:c r="C47" s="57" t="n">
        <x:f>'Base longa'!K359</x:f>
        <x:v>683.3</x:v>
      </x:c>
      <x:c r="D47" s="57" t="n">
        <x:f>'Base longa'!L359</x:f>
        <x:v>712.4</x:v>
      </x:c>
      <x:c r="E47" s="57" t="n">
        <x:f>'Base longa'!M359</x:f>
        <x:v>741.5</x:v>
      </x:c>
      <x:c r="F47" s="53"/>
      <x:c r="G47" s="56"/>
      <x:c r="H47" s="95"/>
      <x:c r="I47" s="57"/>
      <x:c r="J47" s="57"/>
      <x:c r="K47" s="57"/>
      <x:c r="L47" s="53"/>
      <x:c r="M47" s="56"/>
      <x:c r="N47" s="95"/>
      <x:c r="O47" s="57"/>
      <x:c r="P47" s="57"/>
      <x:c r="Q47" s="57"/>
      <x:c r="R47" s="53"/>
      <x:c r="S47" s="56"/>
      <x:c r="T47" s="95"/>
      <x:c r="U47" s="57"/>
      <x:c r="V47" s="57"/>
      <x:c r="W47" s="57"/>
      <x:c r="X47" s="53"/>
      <x:c r="Y47" s="56"/>
      <x:c r="Z47" s="95"/>
      <x:c r="AA47" s="57"/>
      <x:c r="AB47" s="57"/>
      <x:c r="AC47" s="57"/>
    </x:row>
    <x:row r="48">
      <x:c r="A48" s="66" t="str">
        <x:v>GERAL</x:v>
      </x:c>
      <x:c r="B48" s="96" t="n">
        <x:f>'Base longa'!G360</x:f>
        <x:v>43</x:v>
      </x:c>
      <x:c r="C48" s="69" t="n">
        <x:f>'Base longa'!K360</x:f>
        <x:v>695.2</x:v>
      </x:c>
      <x:c r="D48" s="69" t="n">
        <x:f>'Base longa'!L360</x:f>
        <x:v>723.4</x:v>
      </x:c>
      <x:c r="E48" s="69" t="n">
        <x:f>'Base longa'!M360</x:f>
        <x:v>751.6</x:v>
      </x:c>
      <x:c r="F48" s="53"/>
      <x:c r="G48" s="66"/>
      <x:c r="H48" s="96"/>
      <x:c r="I48" s="69"/>
      <x:c r="J48" s="69"/>
      <x:c r="K48" s="69"/>
      <x:c r="L48" s="53"/>
      <x:c r="M48" s="66"/>
      <x:c r="N48" s="96"/>
      <x:c r="O48" s="69"/>
      <x:c r="P48" s="69"/>
      <x:c r="Q48" s="69"/>
      <x:c r="R48" s="53"/>
      <x:c r="S48" s="66"/>
      <x:c r="T48" s="96"/>
      <x:c r="U48" s="69"/>
      <x:c r="V48" s="69"/>
      <x:c r="W48" s="69"/>
      <x:c r="X48" s="53"/>
      <x:c r="Y48" s="66"/>
      <x:c r="Z48" s="96"/>
      <x:c r="AA48" s="69"/>
      <x:c r="AB48" s="69"/>
      <x:c r="AC48" s="69"/>
    </x:row>
    <x:row r="49">
      <x:c r="A49" s="56" t="str">
        <x:v>GERAL</x:v>
      </x:c>
      <x:c r="B49" s="95" t="n">
        <x:f>'Base longa'!G361</x:f>
        <x:v>44</x:v>
      </x:c>
      <x:c r="C49" s="57" t="n">
        <x:f>'Base longa'!K361</x:f>
        <x:v>706.8</x:v>
      </x:c>
      <x:c r="D49" s="57" t="n">
        <x:f>'Base longa'!L361</x:f>
        <x:v>733.9</x:v>
      </x:c>
      <x:c r="E49" s="57" t="n">
        <x:f>'Base longa'!M361</x:f>
        <x:v>761</x:v>
      </x:c>
      <x:c r="F49" s="53"/>
      <x:c r="G49" s="56"/>
      <x:c r="H49" s="95"/>
      <x:c r="I49" s="57"/>
      <x:c r="J49" s="57"/>
      <x:c r="K49" s="57"/>
      <x:c r="L49" s="53"/>
      <x:c r="M49" s="56"/>
      <x:c r="N49" s="95"/>
      <x:c r="O49" s="57"/>
      <x:c r="P49" s="57"/>
      <x:c r="Q49" s="57"/>
      <x:c r="R49" s="53"/>
      <x:c r="S49" s="56"/>
      <x:c r="T49" s="95"/>
      <x:c r="U49" s="57"/>
      <x:c r="V49" s="57"/>
      <x:c r="W49" s="57"/>
      <x:c r="X49" s="53"/>
      <x:c r="Y49" s="56"/>
      <x:c r="Z49" s="95"/>
      <x:c r="AA49" s="57"/>
      <x:c r="AB49" s="57"/>
      <x:c r="AC49" s="57"/>
    </x:row>
    <x:row r="50">
      <x:c r="A50" s="66" t="str">
        <x:v>GERAL</x:v>
      </x:c>
      <x:c r="B50" s="96" t="n">
        <x:f>'Base longa'!G362</x:f>
        <x:v>45</x:v>
      </x:c>
      <x:c r="C50" s="69" t="n">
        <x:f>'Base longa'!K362</x:f>
        <x:v>717.8</x:v>
      </x:c>
      <x:c r="D50" s="69" t="n">
        <x:f>'Base longa'!L362</x:f>
        <x:v>743.8</x:v>
      </x:c>
      <x:c r="E50" s="69" t="n">
        <x:f>'Base longa'!M362</x:f>
        <x:v>769.8</x:v>
      </x:c>
      <x:c r="F50" s="53"/>
      <x:c r="G50" s="66"/>
      <x:c r="H50" s="96"/>
      <x:c r="I50" s="69"/>
      <x:c r="J50" s="69"/>
      <x:c r="K50" s="69"/>
      <x:c r="L50" s="53"/>
      <x:c r="M50" s="66"/>
      <x:c r="N50" s="96"/>
      <x:c r="O50" s="69"/>
      <x:c r="P50" s="69"/>
      <x:c r="Q50" s="69"/>
      <x:c r="R50" s="53"/>
      <x:c r="S50" s="66"/>
      <x:c r="T50" s="96"/>
      <x:c r="U50" s="69"/>
      <x:c r="V50" s="69"/>
      <x:c r="W50" s="69"/>
      <x:c r="X50" s="53"/>
      <x:c r="Y50" s="66"/>
      <x:c r="Z50" s="96"/>
      <x:c r="AA50" s="69"/>
      <x:c r="AB50" s="69"/>
      <x:c r="AC50" s="69"/>
    </x:row>
    <x:row r="51">
      <x:c r="A51" s="56" t="str">
        <x:v>GERAL</x:v>
      </x:c>
      <x:c r="B51" s="95" t="n">
        <x:f>'Base longa'!G363</x:f>
        <x:v>46</x:v>
      </x:c>
      <x:c r="C51" s="57" t="n">
        <x:f>'Base longa'!K363</x:f>
        <x:v>728.2</x:v>
      </x:c>
      <x:c r="D51" s="57" t="n">
        <x:f>'Base longa'!L363</x:f>
        <x:v>753</x:v>
      </x:c>
      <x:c r="E51" s="57" t="n">
        <x:f>'Base longa'!M363</x:f>
        <x:v>777.8</x:v>
      </x:c>
      <x:c r="F51" s="53"/>
      <x:c r="G51" s="56"/>
      <x:c r="H51" s="95"/>
      <x:c r="I51" s="57"/>
      <x:c r="J51" s="57"/>
      <x:c r="K51" s="57"/>
      <x:c r="L51" s="53"/>
      <x:c r="M51" s="56"/>
      <x:c r="N51" s="95"/>
      <x:c r="O51" s="57"/>
      <x:c r="P51" s="57"/>
      <x:c r="Q51" s="57"/>
      <x:c r="R51" s="53"/>
      <x:c r="S51" s="56"/>
      <x:c r="T51" s="95"/>
      <x:c r="U51" s="57"/>
      <x:c r="V51" s="57"/>
      <x:c r="W51" s="57"/>
      <x:c r="X51" s="53"/>
      <x:c r="Y51" s="56"/>
      <x:c r="Z51" s="95"/>
      <x:c r="AA51" s="57"/>
      <x:c r="AB51" s="57"/>
      <x:c r="AC51" s="57"/>
    </x:row>
    <x:row r="52">
      <x:c r="A52" s="66" t="str">
        <x:v>GERAL</x:v>
      </x:c>
      <x:c r="B52" s="96" t="n">
        <x:f>'Base longa'!G364</x:f>
        <x:v>47</x:v>
      </x:c>
      <x:c r="C52" s="69" t="n">
        <x:f>'Base longa'!K364</x:f>
        <x:v>738.1</x:v>
      </x:c>
      <x:c r="D52" s="69" t="n">
        <x:f>'Base longa'!L364</x:f>
        <x:v>761.7</x:v>
      </x:c>
      <x:c r="E52" s="69" t="n">
        <x:f>'Base longa'!M364</x:f>
        <x:v>785.3</x:v>
      </x:c>
      <x:c r="F52" s="53"/>
      <x:c r="G52" s="66"/>
      <x:c r="H52" s="96"/>
      <x:c r="I52" s="69"/>
      <x:c r="J52" s="69"/>
      <x:c r="K52" s="69"/>
      <x:c r="L52" s="53"/>
      <x:c r="M52" s="66"/>
      <x:c r="N52" s="96"/>
      <x:c r="O52" s="69"/>
      <x:c r="P52" s="69"/>
      <x:c r="Q52" s="69"/>
      <x:c r="R52" s="53"/>
      <x:c r="S52" s="66"/>
      <x:c r="T52" s="96"/>
      <x:c r="U52" s="69"/>
      <x:c r="V52" s="69"/>
      <x:c r="W52" s="69"/>
      <x:c r="X52" s="53"/>
      <x:c r="Y52" s="66"/>
      <x:c r="Z52" s="96"/>
      <x:c r="AA52" s="69"/>
      <x:c r="AB52" s="69"/>
      <x:c r="AC52" s="69"/>
    </x:row>
    <x:row r="53">
      <x:c r="A53" s="56" t="str">
        <x:v>GERAL</x:v>
      </x:c>
      <x:c r="B53" s="95" t="n">
        <x:f>'Base longa'!G365</x:f>
        <x:v>48</x:v>
      </x:c>
      <x:c r="C53" s="57" t="n">
        <x:f>'Base longa'!K365</x:f>
        <x:v>747.4</x:v>
      </x:c>
      <x:c r="D53" s="57" t="n">
        <x:f>'Base longa'!L365</x:f>
        <x:v>769.6</x:v>
      </x:c>
      <x:c r="E53" s="57" t="n">
        <x:f>'Base longa'!M365</x:f>
        <x:v>791.8</x:v>
      </x:c>
      <x:c r="F53" s="53"/>
      <x:c r="G53" s="56"/>
      <x:c r="H53" s="95"/>
      <x:c r="I53" s="57"/>
      <x:c r="J53" s="57"/>
      <x:c r="K53" s="57"/>
      <x:c r="L53" s="53"/>
      <x:c r="M53" s="56"/>
      <x:c r="N53" s="95"/>
      <x:c r="O53" s="57"/>
      <x:c r="P53" s="57"/>
      <x:c r="Q53" s="57"/>
      <x:c r="R53" s="53"/>
      <x:c r="S53" s="56"/>
      <x:c r="T53" s="95"/>
      <x:c r="U53" s="57"/>
      <x:c r="V53" s="57"/>
      <x:c r="W53" s="57"/>
      <x:c r="X53" s="53"/>
      <x:c r="Y53" s="56"/>
      <x:c r="Z53" s="95"/>
      <x:c r="AA53" s="57"/>
      <x:c r="AB53" s="57"/>
      <x:c r="AC53" s="57"/>
    </x:row>
    <x:row r="54">
      <x:c r="A54" s="66" t="str">
        <x:v>GERAL</x:v>
      </x:c>
      <x:c r="B54" s="96" t="n">
        <x:f>'Base longa'!G366</x:f>
        <x:v>49</x:v>
      </x:c>
      <x:c r="C54" s="69" t="n">
        <x:f>'Base longa'!K366</x:f>
        <x:v>756</x:v>
      </x:c>
      <x:c r="D54" s="69" t="n">
        <x:f>'Base longa'!L366</x:f>
        <x:v>776.8</x:v>
      </x:c>
      <x:c r="E54" s="69" t="n">
        <x:f>'Base longa'!M366</x:f>
        <x:v>797.6</x:v>
      </x:c>
      <x:c r="F54" s="53"/>
      <x:c r="G54" s="66"/>
      <x:c r="H54" s="96"/>
      <x:c r="I54" s="69"/>
      <x:c r="J54" s="69"/>
      <x:c r="K54" s="69"/>
      <x:c r="L54" s="53"/>
      <x:c r="M54" s="66"/>
      <x:c r="N54" s="96"/>
      <x:c r="O54" s="69"/>
      <x:c r="P54" s="69"/>
      <x:c r="Q54" s="69"/>
      <x:c r="R54" s="53"/>
      <x:c r="S54" s="66"/>
      <x:c r="T54" s="96"/>
      <x:c r="U54" s="69"/>
      <x:c r="V54" s="69"/>
      <x:c r="W54" s="69"/>
      <x:c r="X54" s="53"/>
      <x:c r="Y54" s="66"/>
      <x:c r="Z54" s="96"/>
      <x:c r="AA54" s="69"/>
      <x:c r="AB54" s="69"/>
      <x:c r="AC54" s="69"/>
    </x:row>
    <x:row r="55">
      <x:c r="A55" s="56" t="str">
        <x:v>GERAL</x:v>
      </x:c>
      <x:c r="B55" s="95" t="n">
        <x:f>'Base longa'!G367</x:f>
        <x:v>50</x:v>
      </x:c>
      <x:c r="C55" s="57" t="n">
        <x:f>'Base longa'!K367</x:f>
        <x:v>764</x:v>
      </x:c>
      <x:c r="D55" s="57" t="n">
        <x:f>'Base longa'!L367</x:f>
        <x:v>783.3</x:v>
      </x:c>
      <x:c r="E55" s="57" t="n">
        <x:f>'Base longa'!M367</x:f>
        <x:v>800</x:v>
      </x:c>
      <x:c r="F55" s="53"/>
      <x:c r="G55" s="56"/>
      <x:c r="H55" s="95"/>
      <x:c r="I55" s="57"/>
      <x:c r="J55" s="57"/>
      <x:c r="K55" s="57"/>
      <x:c r="L55" s="53"/>
      <x:c r="M55" s="56"/>
      <x:c r="N55" s="95"/>
      <x:c r="O55" s="57"/>
      <x:c r="P55" s="57"/>
      <x:c r="Q55" s="57"/>
      <x:c r="R55" s="53"/>
      <x:c r="S55" s="56"/>
      <x:c r="T55" s="95"/>
      <x:c r="U55" s="57"/>
      <x:c r="V55" s="57"/>
      <x:c r="W55" s="57"/>
      <x:c r="X55" s="53"/>
      <x:c r="Y55" s="56"/>
      <x:c r="Z55" s="95"/>
      <x:c r="AA55" s="57"/>
      <x:c r="AB55" s="57"/>
      <x:c r="AC55" s="57"/>
    </x:row>
    <x:row r="56">
      <x:c r="A56" s="66" t="str">
        <x:v>GERAL</x:v>
      </x:c>
      <x:c r="B56" s="96" t="n">
        <x:f>'Base longa'!G368</x:f>
        <x:v>51</x:v>
      </x:c>
      <x:c r="C56" s="69" t="n">
        <x:f>'Base longa'!K368</x:f>
        <x:v>771.3</x:v>
      </x:c>
      <x:c r="D56" s="69" t="n">
        <x:f>'Base longa'!L368</x:f>
        <x:v>789</x:v>
      </x:c>
      <x:c r="E56" s="69" t="n">
        <x:f>'Base longa'!M368</x:f>
        <x:v>800</x:v>
      </x:c>
      <x:c r="F56" s="53"/>
      <x:c r="G56" s="66"/>
      <x:c r="H56" s="96"/>
      <x:c r="I56" s="69"/>
      <x:c r="J56" s="69"/>
      <x:c r="K56" s="69"/>
      <x:c r="L56" s="53"/>
      <x:c r="M56" s="66"/>
      <x:c r="N56" s="96"/>
      <x:c r="O56" s="69"/>
      <x:c r="P56" s="69"/>
      <x:c r="Q56" s="69"/>
      <x:c r="R56" s="53"/>
      <x:c r="S56" s="66"/>
      <x:c r="T56" s="96"/>
      <x:c r="U56" s="69"/>
      <x:c r="V56" s="69"/>
      <x:c r="W56" s="69"/>
      <x:c r="X56" s="53"/>
      <x:c r="Y56" s="66"/>
      <x:c r="Z56" s="96"/>
      <x:c r="AA56" s="69"/>
      <x:c r="AB56" s="69"/>
      <x:c r="AC56" s="69"/>
    </x:row>
    <x:row r="57">
      <x:c r="A57" s="56" t="str">
        <x:v>GERAL</x:v>
      </x:c>
      <x:c r="B57" s="95" t="n">
        <x:f>'Base longa'!G369</x:f>
        <x:v>52</x:v>
      </x:c>
      <x:c r="C57" s="57" t="n">
        <x:f>'Base longa'!K369</x:f>
        <x:v>778</x:v>
      </x:c>
      <x:c r="D57" s="57" t="n">
        <x:f>'Base longa'!L369</x:f>
        <x:v>794</x:v>
      </x:c>
      <x:c r="E57" s="57" t="n">
        <x:f>'Base longa'!M369</x:f>
        <x:v>800</x:v>
      </x:c>
      <x:c r="F57" s="53"/>
      <x:c r="G57" s="56"/>
      <x:c r="H57" s="95"/>
      <x:c r="I57" s="57"/>
      <x:c r="J57" s="57"/>
      <x:c r="K57" s="57"/>
      <x:c r="L57" s="53"/>
      <x:c r="M57" s="56"/>
      <x:c r="N57" s="95"/>
      <x:c r="O57" s="57"/>
      <x:c r="P57" s="57"/>
      <x:c r="Q57" s="57"/>
      <x:c r="R57" s="53"/>
      <x:c r="S57" s="56"/>
      <x:c r="T57" s="95"/>
      <x:c r="U57" s="57"/>
      <x:c r="V57" s="57"/>
      <x:c r="W57" s="57"/>
      <x:c r="X57" s="53"/>
      <x:c r="Y57" s="56"/>
      <x:c r="Z57" s="95"/>
      <x:c r="AA57" s="57"/>
      <x:c r="AB57" s="57"/>
      <x:c r="AC57" s="57"/>
    </x:row>
    <x:row r="58">
      <x:c r="A58" s="66" t="str">
        <x:v>GERAL</x:v>
      </x:c>
      <x:c r="B58" s="96" t="n">
        <x:f>'Base longa'!G370</x:f>
        <x:v>53</x:v>
      </x:c>
      <x:c r="C58" s="69" t="n">
        <x:f>'Base longa'!K370</x:f>
        <x:v>783.7</x:v>
      </x:c>
      <x:c r="D58" s="69" t="n">
        <x:f>'Base longa'!L370</x:f>
        <x:v>798</x:v>
      </x:c>
      <x:c r="E58" s="69" t="n">
        <x:f>'Base longa'!M370</x:f>
        <x:v>800</x:v>
      </x:c>
      <x:c r="F58" s="53"/>
      <x:c r="G58" s="66"/>
      <x:c r="H58" s="96"/>
      <x:c r="I58" s="69"/>
      <x:c r="J58" s="69"/>
      <x:c r="K58" s="69"/>
      <x:c r="L58" s="53"/>
      <x:c r="M58" s="66"/>
      <x:c r="N58" s="96"/>
      <x:c r="O58" s="69"/>
      <x:c r="P58" s="69"/>
      <x:c r="Q58" s="69"/>
      <x:c r="R58" s="53"/>
      <x:c r="S58" s="66"/>
      <x:c r="T58" s="96"/>
      <x:c r="U58" s="69"/>
      <x:c r="V58" s="69"/>
      <x:c r="W58" s="69"/>
      <x:c r="X58" s="53"/>
      <x:c r="Y58" s="66"/>
      <x:c r="Z58" s="96"/>
      <x:c r="AA58" s="69"/>
      <x:c r="AB58" s="69"/>
      <x:c r="AC58" s="69"/>
    </x:row>
    <x:row r="59">
      <x:c r="A59" s="56" t="str">
        <x:v>GERAL</x:v>
      </x:c>
      <x:c r="B59" s="95" t="n">
        <x:f>'Base longa'!G371</x:f>
        <x:v>54</x:v>
      </x:c>
      <x:c r="C59" s="57" t="n">
        <x:f>'Base longa'!K371</x:f>
        <x:v>787.5</x:v>
      </x:c>
      <x:c r="D59" s="57" t="n">
        <x:f>'Base longa'!L371</x:f>
        <x:v>800</x:v>
      </x:c>
      <x:c r="E59" s="57" t="n">
        <x:f>'Base longa'!M371</x:f>
        <x:v>800</x:v>
      </x:c>
      <x:c r="F59" s="53"/>
      <x:c r="G59" s="56"/>
      <x:c r="H59" s="95"/>
      <x:c r="I59" s="57"/>
      <x:c r="J59" s="57"/>
      <x:c r="K59" s="57"/>
      <x:c r="L59" s="53"/>
      <x:c r="M59" s="56"/>
      <x:c r="N59" s="95"/>
      <x:c r="O59" s="57"/>
      <x:c r="P59" s="57"/>
      <x:c r="Q59" s="57"/>
      <x:c r="R59" s="53"/>
      <x:c r="S59" s="56"/>
      <x:c r="T59" s="95"/>
      <x:c r="U59" s="57"/>
      <x:c r="V59" s="57"/>
      <x:c r="W59" s="57"/>
      <x:c r="X59" s="53"/>
      <x:c r="Y59" s="56"/>
      <x:c r="Z59" s="95"/>
      <x:c r="AA59" s="57"/>
      <x:c r="AB59" s="57"/>
      <x:c r="AC59" s="57"/>
    </x:row>
    <x:row r="60">
      <x:c r="A60" s="66" t="str">
        <x:v>GERAL</x:v>
      </x:c>
      <x:c r="B60" s="96" t="n">
        <x:f>'Base longa'!G372</x:f>
        <x:v>55</x:v>
      </x:c>
      <x:c r="C60" s="69" t="n">
        <x:f>'Base longa'!K372</x:f>
        <x:v>789.4</x:v>
      </x:c>
      <x:c r="D60" s="69" t="n">
        <x:f>'Base longa'!L372</x:f>
        <x:v>800</x:v>
      </x:c>
      <x:c r="E60" s="69" t="n">
        <x:f>'Base longa'!M372</x:f>
        <x:v>800</x:v>
      </x:c>
      <x:c r="F60" s="53"/>
      <x:c r="G60" s="66"/>
      <x:c r="H60" s="96"/>
      <x:c r="I60" s="69"/>
      <x:c r="J60" s="69"/>
      <x:c r="K60" s="69"/>
      <x:c r="L60" s="53"/>
      <x:c r="M60" s="66"/>
      <x:c r="N60" s="96"/>
      <x:c r="O60" s="69"/>
      <x:c r="P60" s="69"/>
      <x:c r="Q60" s="69"/>
      <x:c r="R60" s="53"/>
      <x:c r="S60" s="66"/>
      <x:c r="T60" s="96"/>
      <x:c r="U60" s="69"/>
      <x:c r="V60" s="69"/>
      <x:c r="W60" s="69"/>
      <x:c r="X60" s="53"/>
      <x:c r="Y60" s="66"/>
      <x:c r="Z60" s="96"/>
      <x:c r="AA60" s="69"/>
      <x:c r="AB60" s="69"/>
      <x:c r="AC60" s="69"/>
    </x:row>
    <x:row r="61">
      <x:c r="A61" s="56" t="str">
        <x:v>GERAL</x:v>
      </x:c>
      <x:c r="B61" s="95" t="n">
        <x:f>'Base longa'!G373</x:f>
        <x:v>56</x:v>
      </x:c>
      <x:c r="C61" s="57" t="n">
        <x:f>'Base longa'!K373</x:f>
        <x:v>791.4</x:v>
      </x:c>
      <x:c r="D61" s="57" t="n">
        <x:f>'Base longa'!L373</x:f>
        <x:v>800</x:v>
      </x:c>
      <x:c r="E61" s="57" t="n">
        <x:f>'Base longa'!M373</x:f>
        <x:v>800</x:v>
      </x:c>
      <x:c r="F61" s="53"/>
      <x:c r="G61" s="56"/>
      <x:c r="H61" s="95"/>
      <x:c r="I61" s="57"/>
      <x:c r="J61" s="57"/>
      <x:c r="K61" s="57"/>
      <x:c r="L61" s="53"/>
      <x:c r="M61" s="56"/>
      <x:c r="N61" s="95"/>
      <x:c r="O61" s="57"/>
      <x:c r="P61" s="57"/>
      <x:c r="Q61" s="57"/>
      <x:c r="R61" s="53"/>
      <x:c r="S61" s="56"/>
      <x:c r="T61" s="95"/>
      <x:c r="U61" s="57"/>
      <x:c r="V61" s="57"/>
      <x:c r="W61" s="57"/>
      <x:c r="X61" s="53"/>
      <x:c r="Y61" s="56"/>
      <x:c r="Z61" s="95"/>
      <x:c r="AA61" s="57"/>
      <x:c r="AB61" s="57"/>
      <x:c r="AC61" s="57"/>
    </x:row>
    <x:row r="62">
      <x:c r="A62" s="66" t="str">
        <x:v>GERAL</x:v>
      </x:c>
      <x:c r="B62" s="96" t="n">
        <x:f>'Base longa'!G374</x:f>
        <x:v>57</x:v>
      </x:c>
      <x:c r="C62" s="69" t="n">
        <x:f>'Base longa'!K374</x:f>
        <x:v>793.4</x:v>
      </x:c>
      <x:c r="D62" s="69" t="n">
        <x:f>'Base longa'!L374</x:f>
        <x:v>800</x:v>
      </x:c>
      <x:c r="E62" s="69" t="n">
        <x:f>'Base longa'!M374</x:f>
        <x:v>800</x:v>
      </x:c>
      <x:c r="F62" s="53"/>
      <x:c r="G62" s="66"/>
      <x:c r="H62" s="96"/>
      <x:c r="I62" s="69"/>
      <x:c r="J62" s="69"/>
      <x:c r="K62" s="69"/>
      <x:c r="L62" s="53"/>
      <x:c r="M62" s="66"/>
      <x:c r="N62" s="96"/>
      <x:c r="O62" s="69"/>
      <x:c r="P62" s="69"/>
      <x:c r="Q62" s="69"/>
      <x:c r="R62" s="53"/>
      <x:c r="S62" s="66"/>
      <x:c r="T62" s="96"/>
      <x:c r="U62" s="69"/>
      <x:c r="V62" s="69"/>
      <x:c r="W62" s="69"/>
      <x:c r="X62" s="53"/>
      <x:c r="Y62" s="66"/>
      <x:c r="Z62" s="96"/>
      <x:c r="AA62" s="69"/>
      <x:c r="AB62" s="69"/>
      <x:c r="AC62" s="69"/>
    </x:row>
    <x:row r="63">
      <x:c r="A63" s="56" t="str">
        <x:v>GERAL</x:v>
      </x:c>
      <x:c r="B63" s="95" t="n">
        <x:f>'Base longa'!G375</x:f>
        <x:v>58</x:v>
      </x:c>
      <x:c r="C63" s="57" t="n">
        <x:f>'Base longa'!K375</x:f>
        <x:v>795.5</x:v>
      </x:c>
      <x:c r="D63" s="57" t="n">
        <x:f>'Base longa'!L375</x:f>
        <x:v>800</x:v>
      </x:c>
      <x:c r="E63" s="57" t="n">
        <x:f>'Base longa'!M375</x:f>
        <x:v>800</x:v>
      </x:c>
      <x:c r="F63" s="53"/>
      <x:c r="G63" s="56"/>
      <x:c r="H63" s="95"/>
      <x:c r="I63" s="57"/>
      <x:c r="J63" s="57"/>
      <x:c r="K63" s="57"/>
      <x:c r="L63" s="53"/>
      <x:c r="M63" s="56"/>
      <x:c r="N63" s="95"/>
      <x:c r="O63" s="57"/>
      <x:c r="P63" s="57"/>
      <x:c r="Q63" s="57"/>
      <x:c r="R63" s="53"/>
      <x:c r="S63" s="56"/>
      <x:c r="T63" s="95"/>
      <x:c r="U63" s="57"/>
      <x:c r="V63" s="57"/>
      <x:c r="W63" s="57"/>
      <x:c r="X63" s="53"/>
      <x:c r="Y63" s="56"/>
      <x:c r="Z63" s="95"/>
      <x:c r="AA63" s="57"/>
      <x:c r="AB63" s="57"/>
      <x:c r="AC63" s="57"/>
    </x:row>
    <x:row r="64">
      <x:c r="A64" s="66" t="str">
        <x:v>GERAL</x:v>
      </x:c>
      <x:c r="B64" s="96" t="n">
        <x:f>'Base longa'!G376</x:f>
        <x:v>59</x:v>
      </x:c>
      <x:c r="C64" s="69" t="n">
        <x:f>'Base longa'!K376</x:f>
        <x:v>797.7</x:v>
      </x:c>
      <x:c r="D64" s="69" t="n">
        <x:f>'Base longa'!L376</x:f>
        <x:v>800</x:v>
      </x:c>
      <x:c r="E64" s="69" t="n">
        <x:f>'Base longa'!M376</x:f>
        <x:v>800</x:v>
      </x:c>
      <x:c r="F64" s="53"/>
      <x:c r="G64" s="66"/>
      <x:c r="H64" s="96"/>
      <x:c r="I64" s="69"/>
      <x:c r="J64" s="69"/>
      <x:c r="K64" s="69"/>
      <x:c r="L64" s="53"/>
      <x:c r="M64" s="66"/>
      <x:c r="N64" s="96"/>
      <x:c r="O64" s="69"/>
      <x:c r="P64" s="69"/>
      <x:c r="Q64" s="69"/>
      <x:c r="R64" s="53"/>
      <x:c r="S64" s="66"/>
      <x:c r="T64" s="96"/>
      <x:c r="U64" s="69"/>
      <x:c r="V64" s="69"/>
      <x:c r="W64" s="69"/>
      <x:c r="X64" s="53"/>
      <x:c r="Y64" s="66"/>
      <x:c r="Z64" s="96"/>
      <x:c r="AA64" s="69"/>
      <x:c r="AB64" s="69"/>
      <x:c r="AC64" s="69"/>
    </x:row>
    <x:row r="65">
      <x:c r="A65" s="56" t="str">
        <x:v>GERAL</x:v>
      </x:c>
      <x:c r="B65" s="95" t="n">
        <x:f>'Base longa'!G377</x:f>
        <x:v>60</x:v>
      </x:c>
      <x:c r="C65" s="57" t="n">
        <x:f>'Base longa'!K377</x:f>
        <x:v>800</x:v>
      </x:c>
      <x:c r="D65" s="57" t="n">
        <x:f>'Base longa'!L377</x:f>
        <x:v>800</x:v>
      </x:c>
      <x:c r="E65" s="57" t="n">
        <x:f>'Base longa'!M377</x:f>
        <x:v>800</x:v>
      </x:c>
      <x:c r="F65" s="53"/>
      <x:c r="G65" s="56"/>
      <x:c r="H65" s="95"/>
      <x:c r="I65" s="57"/>
      <x:c r="J65" s="57"/>
      <x:c r="K65" s="57"/>
      <x:c r="L65" s="53"/>
      <x:c r="M65" s="56"/>
      <x:c r="N65" s="95"/>
      <x:c r="O65" s="57"/>
      <x:c r="P65" s="57"/>
      <x:c r="Q65" s="57"/>
      <x:c r="R65" s="53"/>
      <x:c r="S65" s="56"/>
      <x:c r="T65" s="95"/>
      <x:c r="U65" s="57"/>
      <x:c r="V65" s="57"/>
      <x:c r="W65" s="57"/>
      <x:c r="X65" s="53"/>
      <x:c r="Y65" s="56"/>
      <x:c r="Z65" s="95"/>
      <x:c r="AA65" s="57"/>
      <x:c r="AB65" s="57"/>
      <x:c r="AC65" s="57"/>
    </x:row>
    <x:row r="66">
      <x:c r="A66" s="53"/>
      <x:c r="B66" s="53"/>
      <x:c r="C66" s="53"/>
      <x:c r="D66" s="53"/>
      <x:c r="E66" s="53"/>
      <x:c r="F66" s="53"/>
      <x:c r="G66" s="53"/>
      <x:c r="H66" s="53"/>
      <x:c r="I66" s="53"/>
      <x:c r="J66" s="53"/>
      <x:c r="K66" s="53"/>
      <x:c r="L66" s="53"/>
      <x:c r="M66" s="53"/>
      <x:c r="N66" s="53"/>
      <x:c r="O66" s="53"/>
      <x:c r="P66" s="53"/>
      <x:c r="Q66" s="53"/>
      <x:c r="R66" s="53"/>
      <x:c r="S66" s="53"/>
      <x:c r="T66" s="53"/>
      <x:c r="U66" s="53"/>
      <x:c r="V66" s="53"/>
      <x:c r="W66" s="53"/>
      <x:c r="X66" s="53"/>
      <x:c r="Y66" s="53"/>
      <x:c r="Z66" s="53"/>
      <x:c r="AA66" s="53"/>
      <x:c r="AB66" s="53"/>
      <x:c r="AC66" s="53"/>
    </x:row>
    <x:row r="67">
      <x:c r="A67" s="53"/>
      <x:c r="B67" s="53"/>
      <x:c r="C67" s="53"/>
      <x:c r="D67" s="53"/>
      <x:c r="E67" s="53"/>
      <x:c r="F67" s="53"/>
      <x:c r="G67" s="53"/>
      <x:c r="H67" s="53"/>
      <x:c r="I67" s="53"/>
      <x:c r="J67" s="53"/>
      <x:c r="K67" s="53"/>
      <x:c r="L67" s="53"/>
      <x:c r="M67" s="53"/>
      <x:c r="N67" s="53"/>
      <x:c r="O67" s="53"/>
      <x:c r="P67" s="53"/>
      <x:c r="Q67" s="53"/>
      <x:c r="R67" s="53"/>
      <x:c r="S67" s="53"/>
      <x:c r="T67" s="53"/>
      <x:c r="U67" s="53"/>
      <x:c r="V67" s="53"/>
      <x:c r="W67" s="53"/>
      <x:c r="X67" s="53"/>
      <x:c r="Y67" s="53"/>
      <x:c r="Z67" s="53"/>
      <x:c r="AA67" s="53"/>
      <x:c r="AB67" s="53"/>
      <x:c r="AC67" s="53"/>
    </x:row>
    <x:row r="68" ht="28" customHeight="1">
      <x:c r="A68" s="97" t="str">
        <x:v>LEITURA: a mesma quantidade de acertos pode gerar resultados distintos conforme a dificuldade e a coerência do padrão de respostas. Por isso, mínimo e máximo são possibilidades, não garantias.</x:v>
      </x:c>
      <x:c r="B68" s="97"/>
      <x:c r="C68" s="97"/>
      <x:c r="D68" s="97"/>
      <x:c r="E68" s="97"/>
      <x:c r="F68" s="97"/>
      <x:c r="G68" s="97"/>
      <x:c r="H68" s="97"/>
      <x:c r="I68" s="97"/>
      <x:c r="J68" s="97"/>
      <x:c r="K68" s="97"/>
      <x:c r="L68" s="97"/>
      <x:c r="M68" s="97"/>
      <x:c r="N68" s="97"/>
      <x:c r="O68" s="97"/>
      <x:c r="P68" s="97"/>
      <x:c r="Q68" s="97"/>
      <x:c r="R68" s="97"/>
      <x:c r="S68" s="97"/>
      <x:c r="T68" s="97"/>
      <x:c r="U68" s="97"/>
      <x:c r="V68" s="97"/>
      <x:c r="W68" s="97"/>
      <x:c r="X68" s="97"/>
      <x:c r="Y68" s="97"/>
      <x:c r="Z68" s="97"/>
      <x:c r="AA68" s="97"/>
      <x:c r="AB68" s="97"/>
      <x:c r="AC68" s="97"/>
    </x:row>
    <x:row r="69">
      <x:c r="A69" s="98" t="str">
        <x:v>Status: hipótese pré-calibração. O quadro GERAL resume o total bruto e não substitui a análise por área. Consulte a aba Premissas antes de usar os valores em relatórios.</x:v>
      </x:c>
      <x:c r="B69" s="98"/>
      <x:c r="C69" s="98"/>
      <x:c r="D69" s="98"/>
      <x:c r="E69" s="98"/>
      <x:c r="F69" s="98"/>
      <x:c r="G69" s="98"/>
      <x:c r="H69" s="98"/>
      <x:c r="I69" s="98"/>
      <x:c r="J69" s="98"/>
      <x:c r="K69" s="98"/>
      <x:c r="L69" s="98"/>
      <x:c r="M69" s="98"/>
      <x:c r="N69" s="98"/>
      <x:c r="O69" s="98"/>
      <x:c r="P69" s="98"/>
      <x:c r="Q69" s="98"/>
      <x:c r="R69" s="98"/>
      <x:c r="S69" s="98"/>
      <x:c r="T69" s="98"/>
      <x:c r="U69" s="98"/>
      <x:c r="V69" s="98"/>
      <x:c r="W69" s="98"/>
      <x:c r="X69" s="98"/>
      <x:c r="Y69" s="98"/>
      <x:c r="Z69" s="98"/>
      <x:c r="AA69" s="98"/>
      <x:c r="AB69" s="98"/>
      <x:c r="AC69" s="98"/>
    </x:row>
  </x:sheetData>
  <x:mergeCells>
    <x:mergeCell ref="A1:AC1"/>
    <x:mergeCell ref="A2:AC2"/>
    <x:mergeCell ref="A3:E3"/>
    <x:mergeCell ref="G3:K3"/>
    <x:mergeCell ref="M3:Q3"/>
    <x:mergeCell ref="S3:W3"/>
    <x:mergeCell ref="Y3:AC3"/>
    <x:mergeCell ref="A68:AC68"/>
    <x:mergeCell ref="A69:AC69"/>
  </x:mergeCells>
  <x:pageMargins left="0.7" right="0.7" top="0.75" bottom="0.75" header="0.3" footer="0.3"/>
</x:worksheet>
</file>